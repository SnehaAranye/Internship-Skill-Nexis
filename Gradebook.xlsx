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ad801e25af5b12/Documents/"/>
    </mc:Choice>
  </mc:AlternateContent>
  <xr:revisionPtr revIDLastSave="3" documentId="8_{E6D97895-1FDA-49AC-8644-7E42A3735BEE}" xr6:coauthVersionLast="47" xr6:coauthVersionMax="47" xr10:uidLastSave="{6B683281-8119-4082-8439-EC33A077D819}"/>
  <bookViews>
    <workbookView xWindow="-105" yWindow="0" windowWidth="14610" windowHeight="15585" xr2:uid="{27C0807B-FB1F-42B5-8989-7D4943E1C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3" i="1"/>
  <c r="C24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H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</calcChain>
</file>

<file path=xl/sharedStrings.xml><?xml version="1.0" encoding="utf-8"?>
<sst xmlns="http://schemas.openxmlformats.org/spreadsheetml/2006/main" count="50" uniqueCount="46">
  <si>
    <t>Gradebook</t>
  </si>
  <si>
    <t>Last Name</t>
  </si>
  <si>
    <t>First Name</t>
  </si>
  <si>
    <t>Sneha</t>
  </si>
  <si>
    <t>Aranye</t>
  </si>
  <si>
    <t>Riya</t>
  </si>
  <si>
    <t>Ron</t>
  </si>
  <si>
    <t>Varun</t>
  </si>
  <si>
    <t>Amarti</t>
  </si>
  <si>
    <t>Preetham</t>
  </si>
  <si>
    <t>Ghagare</t>
  </si>
  <si>
    <t>Diya</t>
  </si>
  <si>
    <t>Tamur</t>
  </si>
  <si>
    <t>Salam</t>
  </si>
  <si>
    <t>Khan</t>
  </si>
  <si>
    <t>Arti</t>
  </si>
  <si>
    <t>Dukan</t>
  </si>
  <si>
    <t>Krishna</t>
  </si>
  <si>
    <t>Tanam</t>
  </si>
  <si>
    <t>Trisha</t>
  </si>
  <si>
    <t>Rathod</t>
  </si>
  <si>
    <t>Sruti</t>
  </si>
  <si>
    <t>Saham</t>
  </si>
  <si>
    <t>Siya</t>
  </si>
  <si>
    <t>Atunyi</t>
  </si>
  <si>
    <t>Mohini</t>
  </si>
  <si>
    <t>Jairam</t>
  </si>
  <si>
    <t>Shrutika</t>
  </si>
  <si>
    <t>Gade</t>
  </si>
  <si>
    <t>Rituja</t>
  </si>
  <si>
    <t>Date</t>
  </si>
  <si>
    <t>Ahmed</t>
  </si>
  <si>
    <t>Vamar</t>
  </si>
  <si>
    <t>Disha</t>
  </si>
  <si>
    <t>Gage</t>
  </si>
  <si>
    <t>Aliya</t>
  </si>
  <si>
    <t>Chmu</t>
  </si>
  <si>
    <t xml:space="preserve">Safety Test </t>
  </si>
  <si>
    <t>Company Philosophy Test</t>
  </si>
  <si>
    <t>Drug Test</t>
  </si>
  <si>
    <t>Financial Skills Test</t>
  </si>
  <si>
    <t xml:space="preserve">Points Possible </t>
  </si>
  <si>
    <t>Fire Employee 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</si>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</sst>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 Test</a:t>
            </a:r>
          </a:p>
        </c:rich>
      </c:tx>
      <c:layout>
        <c:manualLayout>
          <c:xMode val="edge"/>
          <c:yMode val="edge"/>
          <c:x val="0.40739760102964562"/>
          <c:y val="6.6074400220594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25E-2"/>
          <c:y val="0.15782407407407409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Sneha</c:v>
                </c:pt>
                <c:pt idx="1">
                  <c:v>Riya</c:v>
                </c:pt>
                <c:pt idx="2">
                  <c:v>Varun</c:v>
                </c:pt>
                <c:pt idx="3">
                  <c:v>Preetham</c:v>
                </c:pt>
                <c:pt idx="4">
                  <c:v>Diya</c:v>
                </c:pt>
                <c:pt idx="5">
                  <c:v>Salam</c:v>
                </c:pt>
                <c:pt idx="6">
                  <c:v>Arti</c:v>
                </c:pt>
                <c:pt idx="7">
                  <c:v>Krishna</c:v>
                </c:pt>
                <c:pt idx="8">
                  <c:v>Trisha</c:v>
                </c:pt>
                <c:pt idx="9">
                  <c:v>Sruti</c:v>
                </c:pt>
                <c:pt idx="10">
                  <c:v>Siya</c:v>
                </c:pt>
                <c:pt idx="11">
                  <c:v>Mohini</c:v>
                </c:pt>
                <c:pt idx="12">
                  <c:v>Shrutika</c:v>
                </c:pt>
                <c:pt idx="13">
                  <c:v>Rituja</c:v>
                </c:pt>
                <c:pt idx="14">
                  <c:v>Ahmed</c:v>
                </c:pt>
                <c:pt idx="15">
                  <c:v>Disha</c:v>
                </c:pt>
                <c:pt idx="16">
                  <c:v>Aliya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9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2</c:v>
                </c:pt>
                <c:pt idx="8">
                  <c:v>6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5</c:v>
                </c:pt>
                <c:pt idx="13">
                  <c:v>8</c:v>
                </c:pt>
                <c:pt idx="14">
                  <c:v>9</c:v>
                </c:pt>
                <c:pt idx="15">
                  <c:v>5</c:v>
                </c:pt>
                <c:pt idx="1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5-4475-9291-D7789923C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330112"/>
        <c:axId val="257156336"/>
      </c:barChart>
      <c:catAx>
        <c:axId val="6713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156336"/>
        <c:crosses val="autoZero"/>
        <c:auto val="1"/>
        <c:lblAlgn val="ctr"/>
        <c:lblOffset val="100"/>
        <c:noMultiLvlLbl val="0"/>
      </c:catAx>
      <c:valAx>
        <c:axId val="25715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3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</a:t>
            </a:r>
            <a:r>
              <a:rPr lang="en-IN" baseline="0"/>
              <a:t> Philosophy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876376867289213E-2"/>
          <c:y val="0.16584095318087311"/>
          <c:w val="0.91125793872356664"/>
          <c:h val="0.613852635355174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Sneha</c:v>
                </c:pt>
                <c:pt idx="1">
                  <c:v>Riya</c:v>
                </c:pt>
                <c:pt idx="2">
                  <c:v>Varun</c:v>
                </c:pt>
                <c:pt idx="3">
                  <c:v>Preetham</c:v>
                </c:pt>
                <c:pt idx="4">
                  <c:v>Diya</c:v>
                </c:pt>
                <c:pt idx="5">
                  <c:v>Salam</c:v>
                </c:pt>
                <c:pt idx="6">
                  <c:v>Arti</c:v>
                </c:pt>
                <c:pt idx="7">
                  <c:v>Krishna</c:v>
                </c:pt>
                <c:pt idx="8">
                  <c:v>Trisha</c:v>
                </c:pt>
                <c:pt idx="9">
                  <c:v>Sruti</c:v>
                </c:pt>
                <c:pt idx="10">
                  <c:v>Siya</c:v>
                </c:pt>
                <c:pt idx="11">
                  <c:v>Mohini</c:v>
                </c:pt>
                <c:pt idx="12">
                  <c:v>Shrutika</c:v>
                </c:pt>
                <c:pt idx="13">
                  <c:v>Rituja</c:v>
                </c:pt>
                <c:pt idx="14">
                  <c:v>Ahmed</c:v>
                </c:pt>
                <c:pt idx="15">
                  <c:v>Disha</c:v>
                </c:pt>
                <c:pt idx="16">
                  <c:v>Aliya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12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9</c:v>
                </c:pt>
                <c:pt idx="13">
                  <c:v>5</c:v>
                </c:pt>
                <c:pt idx="14">
                  <c:v>18</c:v>
                </c:pt>
                <c:pt idx="15">
                  <c:v>17</c:v>
                </c:pt>
                <c:pt idx="1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0-4CE3-B66B-F42D3E11C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340784"/>
        <c:axId val="257167376"/>
      </c:barChart>
      <c:catAx>
        <c:axId val="67134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167376"/>
        <c:crosses val="autoZero"/>
        <c:auto val="1"/>
        <c:lblAlgn val="ctr"/>
        <c:lblOffset val="100"/>
        <c:noMultiLvlLbl val="0"/>
      </c:catAx>
      <c:valAx>
        <c:axId val="25716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4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Sneha</c:v>
                </c:pt>
                <c:pt idx="1">
                  <c:v>Riya</c:v>
                </c:pt>
                <c:pt idx="2">
                  <c:v>Varun</c:v>
                </c:pt>
                <c:pt idx="3">
                  <c:v>Preetham</c:v>
                </c:pt>
                <c:pt idx="4">
                  <c:v>Diya</c:v>
                </c:pt>
                <c:pt idx="5">
                  <c:v>Salam</c:v>
                </c:pt>
                <c:pt idx="6">
                  <c:v>Arti</c:v>
                </c:pt>
                <c:pt idx="7">
                  <c:v>Krishna</c:v>
                </c:pt>
                <c:pt idx="8">
                  <c:v>Trisha</c:v>
                </c:pt>
                <c:pt idx="9">
                  <c:v>Sruti</c:v>
                </c:pt>
                <c:pt idx="10">
                  <c:v>Siya</c:v>
                </c:pt>
                <c:pt idx="11">
                  <c:v>Mohini</c:v>
                </c:pt>
                <c:pt idx="12">
                  <c:v>Shrutika</c:v>
                </c:pt>
                <c:pt idx="13">
                  <c:v>Rituja</c:v>
                </c:pt>
                <c:pt idx="14">
                  <c:v>Ahmed</c:v>
                </c:pt>
                <c:pt idx="15">
                  <c:v>Disha</c:v>
                </c:pt>
                <c:pt idx="16">
                  <c:v>Aliya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96</c:v>
                </c:pt>
                <c:pt idx="1">
                  <c:v>47</c:v>
                </c:pt>
                <c:pt idx="2">
                  <c:v>77</c:v>
                </c:pt>
                <c:pt idx="3">
                  <c:v>57</c:v>
                </c:pt>
                <c:pt idx="4">
                  <c:v>49</c:v>
                </c:pt>
                <c:pt idx="5">
                  <c:v>95</c:v>
                </c:pt>
                <c:pt idx="6">
                  <c:v>99</c:v>
                </c:pt>
                <c:pt idx="7">
                  <c:v>100</c:v>
                </c:pt>
                <c:pt idx="8">
                  <c:v>93</c:v>
                </c:pt>
                <c:pt idx="9">
                  <c:v>92</c:v>
                </c:pt>
                <c:pt idx="10">
                  <c:v>95</c:v>
                </c:pt>
                <c:pt idx="11">
                  <c:v>95</c:v>
                </c:pt>
                <c:pt idx="12">
                  <c:v>98</c:v>
                </c:pt>
                <c:pt idx="13">
                  <c:v>99</c:v>
                </c:pt>
                <c:pt idx="14">
                  <c:v>96</c:v>
                </c:pt>
                <c:pt idx="15">
                  <c:v>97</c:v>
                </c:pt>
                <c:pt idx="16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D-4AE9-96EC-D2A68BAC8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396160"/>
        <c:axId val="257181296"/>
      </c:barChart>
      <c:catAx>
        <c:axId val="26939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181296"/>
        <c:crosses val="autoZero"/>
        <c:auto val="1"/>
        <c:lblAlgn val="ctr"/>
        <c:lblOffset val="100"/>
        <c:noMultiLvlLbl val="0"/>
      </c:catAx>
      <c:valAx>
        <c:axId val="25718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39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554131</xdr:colOff>
      <xdr:row>0</xdr:row>
      <xdr:rowOff>548247</xdr:rowOff>
    </xdr:from>
    <xdr:to>
      <xdr:col>22</xdr:col>
      <xdr:colOff>280147</xdr:colOff>
      <xdr:row>6</xdr:row>
      <xdr:rowOff>168088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1423F-0B2B-962C-2B5F-817412568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568699</xdr:colOff>
      <xdr:row>8</xdr:row>
      <xdr:rowOff>36327</xdr:rowOff>
    </xdr:from>
    <xdr:to>
      <xdr:col>22</xdr:col>
      <xdr:colOff>280147</xdr:colOff>
      <xdr:row>20</xdr:row>
      <xdr:rowOff>168088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03DB46-FFEB-389F-9A15-B04B6FA93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448236</xdr:colOff>
      <xdr:row>22</xdr:row>
      <xdr:rowOff>29134</xdr:rowOff>
    </xdr:from>
    <xdr:to>
      <xdr:col>22</xdr:col>
      <xdr:colOff>280147</xdr:colOff>
      <xdr:row>34</xdr:row>
      <xdr:rowOff>18676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DDA5B5-CA39-0ADB-F066-B702FA498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4EFA-0382-467A-9C97-B68850AC9764}">
  <sheetPr>
    <pageSetUpPr fitToPage="1"/>
  </sheetPr>
  <dimension ref="A1:M24"/>
  <sheetViews>
    <sheetView tabSelected="1" zoomScale="51" workbookViewId="0">
      <selection activeCell="S43" sqref="S43"/>
    </sheetView>
  </sheetViews>
  <sheetFormatPr defaultRowHeight="15" x14ac:dyDescent="0.25"/>
  <cols>
    <col min="1" max="1" width="10.7109375" bestFit="1" customWidth="1"/>
    <col min="2" max="2" width="15.140625" bestFit="1" customWidth="1"/>
    <col min="3" max="4" width="6.42578125" bestFit="1" customWidth="1"/>
    <col min="5" max="5" width="7.7109375" bestFit="1" customWidth="1"/>
    <col min="6" max="6" width="5.140625" bestFit="1" customWidth="1"/>
    <col min="8" max="11" width="9.28515625" bestFit="1" customWidth="1"/>
    <col min="13" max="13" width="9.28515625" bestFit="1" customWidth="1"/>
  </cols>
  <sheetData>
    <row r="1" spans="1:13" ht="126" x14ac:dyDescent="0.25">
      <c r="A1" t="s">
        <v>0</v>
      </c>
      <c r="C1" s="1" t="s">
        <v>37</v>
      </c>
      <c r="D1" s="1" t="s">
        <v>38</v>
      </c>
      <c r="E1" s="1" t="s">
        <v>40</v>
      </c>
      <c r="F1" s="1" t="s">
        <v>39</v>
      </c>
      <c r="H1" s="1" t="s">
        <v>37</v>
      </c>
      <c r="I1" s="1" t="s">
        <v>38</v>
      </c>
      <c r="J1" s="1" t="s">
        <v>40</v>
      </c>
      <c r="K1" s="1" t="s">
        <v>39</v>
      </c>
    </row>
    <row r="2" spans="1:13" x14ac:dyDescent="0.25">
      <c r="B2" t="s">
        <v>41</v>
      </c>
      <c r="C2">
        <v>10</v>
      </c>
      <c r="D2">
        <v>20</v>
      </c>
      <c r="E2">
        <v>100</v>
      </c>
      <c r="F2">
        <v>1</v>
      </c>
      <c r="M2" t="s">
        <v>42</v>
      </c>
    </row>
    <row r="3" spans="1:13" x14ac:dyDescent="0.25">
      <c r="A3" t="s">
        <v>1</v>
      </c>
      <c r="B3" t="s">
        <v>2</v>
      </c>
    </row>
    <row r="4" spans="1:13" x14ac:dyDescent="0.25">
      <c r="A4" t="s">
        <v>3</v>
      </c>
      <c r="B4" t="s">
        <v>4</v>
      </c>
      <c r="C4">
        <v>9</v>
      </c>
      <c r="D4">
        <v>12</v>
      </c>
      <c r="E4">
        <v>96</v>
      </c>
      <c r="F4">
        <v>1</v>
      </c>
      <c r="H4" s="2">
        <f>C4/C$2</f>
        <v>0.9</v>
      </c>
      <c r="I4" s="2">
        <f>D4/D$2</f>
        <v>0.6</v>
      </c>
      <c r="J4" s="2">
        <f>E4/E$2</f>
        <v>0.96</v>
      </c>
      <c r="K4" s="2">
        <f>F4/F$2</f>
        <v>1</v>
      </c>
      <c r="M4" s="2" t="b">
        <f>OR(H4&lt;0.5,I4&lt;0.5,J4&lt;0.5,K4&lt;0.5)</f>
        <v>0</v>
      </c>
    </row>
    <row r="5" spans="1:13" x14ac:dyDescent="0.25">
      <c r="A5" t="s">
        <v>5</v>
      </c>
      <c r="B5" t="s">
        <v>6</v>
      </c>
      <c r="C5">
        <v>2</v>
      </c>
      <c r="D5">
        <v>15</v>
      </c>
      <c r="E5">
        <v>47</v>
      </c>
      <c r="F5">
        <v>0</v>
      </c>
      <c r="H5" s="2">
        <f>C5/C$2</f>
        <v>0.2</v>
      </c>
      <c r="I5" s="2">
        <f>D5/D$2</f>
        <v>0.75</v>
      </c>
      <c r="J5" s="2">
        <f>E5/E$2</f>
        <v>0.47</v>
      </c>
      <c r="K5" s="2">
        <f>F5/F$2</f>
        <v>0</v>
      </c>
      <c r="M5" s="2" t="b">
        <f t="shared" ref="M5:M20" si="0">OR(H5&lt;0.5,I5&lt;0.5,J5&lt;0.5,K5&lt;0.5)</f>
        <v>1</v>
      </c>
    </row>
    <row r="6" spans="1:13" x14ac:dyDescent="0.25">
      <c r="A6" t="s">
        <v>7</v>
      </c>
      <c r="B6" t="s">
        <v>8</v>
      </c>
      <c r="C6">
        <v>5</v>
      </c>
      <c r="D6">
        <v>16</v>
      </c>
      <c r="E6">
        <v>77</v>
      </c>
      <c r="F6">
        <v>1</v>
      </c>
      <c r="H6" s="2">
        <f>C6/C$2</f>
        <v>0.5</v>
      </c>
      <c r="I6" s="2">
        <f>D6/D$2</f>
        <v>0.8</v>
      </c>
      <c r="J6" s="2">
        <f>E6/E$2</f>
        <v>0.77</v>
      </c>
      <c r="K6" s="2">
        <f>F6/F$2</f>
        <v>1</v>
      </c>
      <c r="M6" s="2" t="b">
        <f t="shared" si="0"/>
        <v>0</v>
      </c>
    </row>
    <row r="7" spans="1:13" x14ac:dyDescent="0.25">
      <c r="A7" t="s">
        <v>9</v>
      </c>
      <c r="B7" t="s">
        <v>10</v>
      </c>
      <c r="C7">
        <v>6</v>
      </c>
      <c r="D7">
        <v>17</v>
      </c>
      <c r="E7">
        <v>57</v>
      </c>
      <c r="F7">
        <v>0</v>
      </c>
      <c r="H7" s="2">
        <f>C7/C$2</f>
        <v>0.6</v>
      </c>
      <c r="I7" s="2">
        <f>D7/D$2</f>
        <v>0.85</v>
      </c>
      <c r="J7" s="2">
        <f>E7/E$2</f>
        <v>0.56999999999999995</v>
      </c>
      <c r="K7" s="2">
        <f>F7/F$2</f>
        <v>0</v>
      </c>
      <c r="M7" s="2" t="b">
        <f t="shared" si="0"/>
        <v>1</v>
      </c>
    </row>
    <row r="8" spans="1:13" x14ac:dyDescent="0.25">
      <c r="A8" t="s">
        <v>11</v>
      </c>
      <c r="B8" t="s">
        <v>12</v>
      </c>
      <c r="C8">
        <v>9</v>
      </c>
      <c r="D8">
        <v>12</v>
      </c>
      <c r="E8">
        <v>49</v>
      </c>
      <c r="F8">
        <v>1</v>
      </c>
      <c r="H8" s="2">
        <f>C8/C$2</f>
        <v>0.9</v>
      </c>
      <c r="I8" s="2">
        <f>D8/D$2</f>
        <v>0.6</v>
      </c>
      <c r="J8" s="2">
        <f>E8/E$2</f>
        <v>0.49</v>
      </c>
      <c r="K8" s="2">
        <f>F8/F$2</f>
        <v>1</v>
      </c>
      <c r="M8" s="2" t="b">
        <f t="shared" si="0"/>
        <v>1</v>
      </c>
    </row>
    <row r="9" spans="1:13" x14ac:dyDescent="0.25">
      <c r="A9" t="s">
        <v>13</v>
      </c>
      <c r="B9" t="s">
        <v>14</v>
      </c>
      <c r="C9">
        <v>10</v>
      </c>
      <c r="D9">
        <v>14</v>
      </c>
      <c r="E9">
        <v>95</v>
      </c>
      <c r="F9">
        <v>1</v>
      </c>
      <c r="H9" s="2">
        <f>C9/C$2</f>
        <v>1</v>
      </c>
      <c r="I9" s="2">
        <f>D9/D$2</f>
        <v>0.7</v>
      </c>
      <c r="J9" s="2">
        <f>E9/E$2</f>
        <v>0.95</v>
      </c>
      <c r="K9" s="2">
        <f>F9/F$2</f>
        <v>1</v>
      </c>
      <c r="M9" s="2" t="b">
        <f t="shared" si="0"/>
        <v>0</v>
      </c>
    </row>
    <row r="10" spans="1:13" x14ac:dyDescent="0.25">
      <c r="A10" t="s">
        <v>15</v>
      </c>
      <c r="B10" t="s">
        <v>16</v>
      </c>
      <c r="C10">
        <v>11</v>
      </c>
      <c r="D10">
        <v>15</v>
      </c>
      <c r="E10">
        <v>99</v>
      </c>
      <c r="F10">
        <v>1</v>
      </c>
      <c r="H10" s="2">
        <f>C10/C$2</f>
        <v>1.1000000000000001</v>
      </c>
      <c r="I10" s="2">
        <f>D10/D$2</f>
        <v>0.75</v>
      </c>
      <c r="J10" s="2">
        <f>E10/E$2</f>
        <v>0.99</v>
      </c>
      <c r="K10" s="2">
        <f>F10/F$2</f>
        <v>1</v>
      </c>
      <c r="M10" s="2" t="b">
        <f t="shared" si="0"/>
        <v>0</v>
      </c>
    </row>
    <row r="11" spans="1:13" x14ac:dyDescent="0.25">
      <c r="A11" t="s">
        <v>17</v>
      </c>
      <c r="B11" t="s">
        <v>18</v>
      </c>
      <c r="C11">
        <v>2</v>
      </c>
      <c r="D11">
        <v>18</v>
      </c>
      <c r="E11">
        <v>100</v>
      </c>
      <c r="F11">
        <v>1</v>
      </c>
      <c r="H11" s="2">
        <f>C11/C$2</f>
        <v>0.2</v>
      </c>
      <c r="I11" s="2">
        <f>D11/D$2</f>
        <v>0.9</v>
      </c>
      <c r="J11" s="2">
        <f>E11/E$2</f>
        <v>1</v>
      </c>
      <c r="K11" s="2">
        <f>F11/F$2</f>
        <v>1</v>
      </c>
      <c r="M11" s="2" t="b">
        <f t="shared" si="0"/>
        <v>1</v>
      </c>
    </row>
    <row r="12" spans="1:13" x14ac:dyDescent="0.25">
      <c r="A12" t="s">
        <v>19</v>
      </c>
      <c r="B12" t="s">
        <v>20</v>
      </c>
      <c r="C12">
        <v>6</v>
      </c>
      <c r="D12">
        <v>20</v>
      </c>
      <c r="E12">
        <v>93</v>
      </c>
      <c r="F12">
        <v>1</v>
      </c>
      <c r="H12" s="2">
        <f>C12/C$2</f>
        <v>0.6</v>
      </c>
      <c r="I12" s="2">
        <f>D12/D$2</f>
        <v>1</v>
      </c>
      <c r="J12" s="2">
        <f>E12/E$2</f>
        <v>0.93</v>
      </c>
      <c r="K12" s="2">
        <f>F12/F$2</f>
        <v>1</v>
      </c>
      <c r="M12" s="2" t="b">
        <f t="shared" si="0"/>
        <v>0</v>
      </c>
    </row>
    <row r="13" spans="1:13" x14ac:dyDescent="0.25">
      <c r="A13" t="s">
        <v>21</v>
      </c>
      <c r="B13" t="s">
        <v>22</v>
      </c>
      <c r="C13">
        <v>8</v>
      </c>
      <c r="D13">
        <v>18</v>
      </c>
      <c r="E13">
        <v>92</v>
      </c>
      <c r="F13">
        <v>1</v>
      </c>
      <c r="H13" s="2">
        <f>C13/C$2</f>
        <v>0.8</v>
      </c>
      <c r="I13" s="2">
        <f>D13/D$2</f>
        <v>0.9</v>
      </c>
      <c r="J13" s="2">
        <f>E13/E$2</f>
        <v>0.92</v>
      </c>
      <c r="K13" s="2">
        <f>F13/F$2</f>
        <v>1</v>
      </c>
      <c r="M13" s="2" t="b">
        <f t="shared" si="0"/>
        <v>0</v>
      </c>
    </row>
    <row r="14" spans="1:13" x14ac:dyDescent="0.25">
      <c r="A14" t="s">
        <v>23</v>
      </c>
      <c r="B14" t="s">
        <v>24</v>
      </c>
      <c r="C14">
        <v>9</v>
      </c>
      <c r="D14">
        <v>18</v>
      </c>
      <c r="E14">
        <v>95</v>
      </c>
      <c r="F14">
        <v>1</v>
      </c>
      <c r="H14" s="2">
        <f>C14/C$2</f>
        <v>0.9</v>
      </c>
      <c r="I14" s="2">
        <f>D14/D$2</f>
        <v>0.9</v>
      </c>
      <c r="J14" s="2">
        <f>E14/E$2</f>
        <v>0.95</v>
      </c>
      <c r="K14" s="2">
        <f>F14/F$2</f>
        <v>1</v>
      </c>
      <c r="M14" s="2" t="b">
        <f t="shared" si="0"/>
        <v>0</v>
      </c>
    </row>
    <row r="15" spans="1:13" x14ac:dyDescent="0.25">
      <c r="A15" t="s">
        <v>25</v>
      </c>
      <c r="B15" t="s">
        <v>26</v>
      </c>
      <c r="C15">
        <v>3</v>
      </c>
      <c r="D15">
        <v>16</v>
      </c>
      <c r="E15">
        <v>95</v>
      </c>
      <c r="F15">
        <v>0</v>
      </c>
      <c r="H15" s="2">
        <f>C15/C$2</f>
        <v>0.3</v>
      </c>
      <c r="I15" s="2">
        <f>D15/D$2</f>
        <v>0.8</v>
      </c>
      <c r="J15" s="2">
        <f>E15/E$2</f>
        <v>0.95</v>
      </c>
      <c r="K15" s="2">
        <f>F15/F$2</f>
        <v>0</v>
      </c>
      <c r="M15" s="2" t="b">
        <f t="shared" si="0"/>
        <v>1</v>
      </c>
    </row>
    <row r="16" spans="1:13" x14ac:dyDescent="0.25">
      <c r="A16" t="s">
        <v>27</v>
      </c>
      <c r="B16" t="s">
        <v>28</v>
      </c>
      <c r="C16">
        <v>5</v>
      </c>
      <c r="D16">
        <v>9</v>
      </c>
      <c r="E16">
        <v>98</v>
      </c>
      <c r="F16">
        <v>1</v>
      </c>
      <c r="H16" s="2">
        <f>C16/C$2</f>
        <v>0.5</v>
      </c>
      <c r="I16" s="2">
        <f>D16/D$2</f>
        <v>0.45</v>
      </c>
      <c r="J16" s="2">
        <f>E16/E$2</f>
        <v>0.98</v>
      </c>
      <c r="K16" s="2">
        <f>F16/F$2</f>
        <v>1</v>
      </c>
      <c r="M16" s="2" t="b">
        <f t="shared" si="0"/>
        <v>1</v>
      </c>
    </row>
    <row r="17" spans="1:13" x14ac:dyDescent="0.25">
      <c r="A17" t="s">
        <v>29</v>
      </c>
      <c r="B17" t="s">
        <v>30</v>
      </c>
      <c r="C17">
        <v>8</v>
      </c>
      <c r="D17">
        <v>5</v>
      </c>
      <c r="E17">
        <v>99</v>
      </c>
      <c r="F17">
        <v>0</v>
      </c>
      <c r="H17" s="2">
        <f>C17/C$2</f>
        <v>0.8</v>
      </c>
      <c r="I17" s="2">
        <f>D17/D$2</f>
        <v>0.25</v>
      </c>
      <c r="J17" s="2">
        <f>E17/E$2</f>
        <v>0.99</v>
      </c>
      <c r="K17" s="2">
        <f>F17/F$2</f>
        <v>0</v>
      </c>
      <c r="M17" s="2" t="b">
        <f t="shared" si="0"/>
        <v>1</v>
      </c>
    </row>
    <row r="18" spans="1:13" x14ac:dyDescent="0.25">
      <c r="A18" t="s">
        <v>31</v>
      </c>
      <c r="B18" t="s">
        <v>32</v>
      </c>
      <c r="C18">
        <v>9</v>
      </c>
      <c r="D18">
        <v>18</v>
      </c>
      <c r="E18">
        <v>96</v>
      </c>
      <c r="F18">
        <v>0</v>
      </c>
      <c r="H18" s="2">
        <f>C18/C$2</f>
        <v>0.9</v>
      </c>
      <c r="I18" s="2">
        <f>D18/D$2</f>
        <v>0.9</v>
      </c>
      <c r="J18" s="2">
        <f>E18/E$2</f>
        <v>0.96</v>
      </c>
      <c r="K18" s="2">
        <f>F18/F$2</f>
        <v>0</v>
      </c>
      <c r="M18" s="2" t="b">
        <f t="shared" si="0"/>
        <v>1</v>
      </c>
    </row>
    <row r="19" spans="1:13" x14ac:dyDescent="0.25">
      <c r="A19" t="s">
        <v>33</v>
      </c>
      <c r="B19" t="s">
        <v>34</v>
      </c>
      <c r="C19">
        <v>5</v>
      </c>
      <c r="D19">
        <v>17</v>
      </c>
      <c r="E19">
        <v>97</v>
      </c>
      <c r="F19">
        <v>0</v>
      </c>
      <c r="H19" s="2">
        <f>C19/C$2</f>
        <v>0.5</v>
      </c>
      <c r="I19" s="2">
        <f>D19/D$2</f>
        <v>0.85</v>
      </c>
      <c r="J19" s="2">
        <f>E19/E$2</f>
        <v>0.97</v>
      </c>
      <c r="K19" s="2">
        <f>F19/F$2</f>
        <v>0</v>
      </c>
      <c r="M19" s="2" t="b">
        <f t="shared" si="0"/>
        <v>1</v>
      </c>
    </row>
    <row r="20" spans="1:13" x14ac:dyDescent="0.25">
      <c r="A20" t="s">
        <v>35</v>
      </c>
      <c r="B20" t="s">
        <v>36</v>
      </c>
      <c r="C20">
        <v>11</v>
      </c>
      <c r="D20">
        <v>15</v>
      </c>
      <c r="E20">
        <v>97</v>
      </c>
      <c r="F20">
        <v>0</v>
      </c>
      <c r="H20" s="2">
        <f>C20/C$2</f>
        <v>1.1000000000000001</v>
      </c>
      <c r="I20" s="2">
        <f>D20/D$2</f>
        <v>0.75</v>
      </c>
      <c r="J20" s="2">
        <f>E20/E$2</f>
        <v>0.97</v>
      </c>
      <c r="K20" s="2">
        <f>F20/F$2</f>
        <v>0</v>
      </c>
      <c r="M20" s="2" t="b">
        <f t="shared" si="0"/>
        <v>1</v>
      </c>
    </row>
    <row r="22" spans="1:13" x14ac:dyDescent="0.25">
      <c r="A22" t="s">
        <v>43</v>
      </c>
      <c r="C22">
        <f>MAX(C4:C20)</f>
        <v>11</v>
      </c>
      <c r="D22">
        <f t="shared" ref="D22:F22" si="1">MAX(D4:D20)</f>
        <v>20</v>
      </c>
      <c r="E22">
        <f t="shared" si="1"/>
        <v>100</v>
      </c>
      <c r="F22">
        <f t="shared" si="1"/>
        <v>1</v>
      </c>
      <c r="H22" s="2">
        <f>MAX(H4:H20)</f>
        <v>1.1000000000000001</v>
      </c>
      <c r="I22" s="2">
        <f t="shared" ref="I22:K22" si="2">MAX(I4:I20)</f>
        <v>1</v>
      </c>
      <c r="J22" s="2">
        <f t="shared" si="2"/>
        <v>1</v>
      </c>
      <c r="K22" s="2">
        <f t="shared" si="2"/>
        <v>1</v>
      </c>
    </row>
    <row r="23" spans="1:13" x14ac:dyDescent="0.25">
      <c r="A23" t="s">
        <v>44</v>
      </c>
      <c r="C23">
        <f>MIN(C4:C20)</f>
        <v>2</v>
      </c>
      <c r="D23">
        <f t="shared" ref="D23:F23" si="3">MIN(D4:D20)</f>
        <v>5</v>
      </c>
      <c r="E23">
        <f t="shared" si="3"/>
        <v>47</v>
      </c>
      <c r="F23">
        <f t="shared" si="3"/>
        <v>0</v>
      </c>
      <c r="H23" s="2">
        <f>MIN(H4:H20)</f>
        <v>0.2</v>
      </c>
      <c r="I23" s="2">
        <f t="shared" ref="I23:K23" si="4">MIN(I4:I20)</f>
        <v>0.25</v>
      </c>
      <c r="J23" s="2">
        <f t="shared" si="4"/>
        <v>0.47</v>
      </c>
      <c r="K23" s="2">
        <f t="shared" si="4"/>
        <v>0</v>
      </c>
    </row>
    <row r="24" spans="1:13" x14ac:dyDescent="0.25">
      <c r="A24" t="s">
        <v>45</v>
      </c>
      <c r="C24">
        <f>AVERAGE(C4:C20)</f>
        <v>6.9411764705882355</v>
      </c>
      <c r="D24">
        <f t="shared" ref="D24:F24" si="5">AVERAGE(D4:D20)</f>
        <v>15</v>
      </c>
      <c r="E24">
        <f t="shared" si="5"/>
        <v>87.17647058823529</v>
      </c>
      <c r="F24">
        <f t="shared" si="5"/>
        <v>0.58823529411764708</v>
      </c>
      <c r="H24" s="2">
        <f>AVERAGE(H4:H20)</f>
        <v>0.69411764705882362</v>
      </c>
      <c r="I24" s="2">
        <f t="shared" ref="I24:K24" si="6">AVERAGE(I4:I20)</f>
        <v>0.75000000000000011</v>
      </c>
      <c r="J24" s="2">
        <f t="shared" si="6"/>
        <v>0.871764705882353</v>
      </c>
      <c r="K24" s="2">
        <f t="shared" si="6"/>
        <v>0.58823529411764708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paperSize="9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aranye</dc:creator>
  <cp:lastModifiedBy>sneha aranye</cp:lastModifiedBy>
  <cp:lastPrinted>2026-09-23T16:04:26Z</cp:lastPrinted>
  <dcterms:created xsi:type="dcterms:W3CDTF">2026-09-23T15:14:33Z</dcterms:created>
  <dcterms:modified xsi:type="dcterms:W3CDTF">2026-09-23T16:05:36Z</dcterms:modified>
</cp:coreProperties>
</file>