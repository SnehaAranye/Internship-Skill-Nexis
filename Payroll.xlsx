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d801e25af5b12/Documents/"/>
    </mc:Choice>
  </mc:AlternateContent>
  <xr:revisionPtr revIDLastSave="187" documentId="8_{E9D4A09F-7F9B-4388-A4E2-E50770FB4A64}" xr6:coauthVersionLast="47" xr6:coauthVersionMax="47" xr10:uidLastSave="{038DA474-557A-45C8-8CFB-A07775E792A3}"/>
  <bookViews>
    <workbookView xWindow="1170" yWindow="1170" windowWidth="21600" windowHeight="11295" xr2:uid="{A0F73BD8-B289-4D83-8A75-85CFCE57A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5" i="1" l="1"/>
  <c r="AD24" i="1"/>
  <c r="AD23" i="1"/>
  <c r="AD2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N22" i="1"/>
  <c r="Y9" i="1"/>
  <c r="AB5" i="1"/>
  <c r="Y11" i="1"/>
  <c r="Y4" i="1"/>
  <c r="Z4" i="1"/>
  <c r="AA4" i="1"/>
  <c r="AB4" i="1"/>
  <c r="Y5" i="1"/>
  <c r="Z5" i="1"/>
  <c r="AA5" i="1"/>
  <c r="Y6" i="1"/>
  <c r="Z6" i="1"/>
  <c r="AA6" i="1"/>
  <c r="AB6" i="1"/>
  <c r="Y7" i="1"/>
  <c r="Z7" i="1"/>
  <c r="AA7" i="1"/>
  <c r="AB7" i="1"/>
  <c r="Y8" i="1"/>
  <c r="Z8" i="1"/>
  <c r="AA8" i="1"/>
  <c r="AB8" i="1"/>
  <c r="Z9" i="1"/>
  <c r="AA9" i="1"/>
  <c r="AB9" i="1"/>
  <c r="Y10" i="1"/>
  <c r="Z10" i="1"/>
  <c r="AA10" i="1"/>
  <c r="AB10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Z3" i="1"/>
  <c r="AA3" i="1"/>
  <c r="AB3" i="1"/>
  <c r="Y3" i="1"/>
  <c r="X4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S4" i="1"/>
  <c r="S5" i="1"/>
  <c r="W3" i="1"/>
  <c r="U3" i="1"/>
  <c r="V3" i="1"/>
  <c r="T3" i="1"/>
  <c r="R4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O3" i="1"/>
  <c r="P3" i="1" s="1"/>
  <c r="Q3" i="1" s="1"/>
  <c r="R3" i="1" s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K3" i="1" s="1"/>
  <c r="L3" i="1" s="1"/>
  <c r="M3" i="1" s="1"/>
  <c r="E3" i="1"/>
  <c r="F3" i="1" s="1"/>
  <c r="G3" i="1" s="1"/>
  <c r="H3" i="1" s="1"/>
  <c r="I5" i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I4" i="1"/>
  <c r="D22" i="1"/>
  <c r="C22" i="1"/>
  <c r="D25" i="1"/>
  <c r="D24" i="1"/>
  <c r="D23" i="1"/>
  <c r="C25" i="1"/>
  <c r="C24" i="1"/>
  <c r="C23" i="1"/>
  <c r="N25" i="1" l="1"/>
  <c r="X20" i="1"/>
  <c r="X8" i="1"/>
  <c r="X7" i="1"/>
  <c r="X18" i="1"/>
  <c r="X15" i="1"/>
  <c r="X13" i="1"/>
  <c r="X6" i="1"/>
  <c r="X5" i="1"/>
  <c r="X14" i="1"/>
  <c r="X12" i="1"/>
  <c r="X19" i="1"/>
  <c r="X17" i="1"/>
  <c r="X11" i="1"/>
  <c r="X16" i="1"/>
  <c r="X10" i="1"/>
  <c r="X9" i="1"/>
  <c r="N24" i="1"/>
  <c r="N23" i="1"/>
</calcChain>
</file>

<file path=xl/sharedStrings.xml><?xml version="1.0" encoding="utf-8"?>
<sst xmlns="http://schemas.openxmlformats.org/spreadsheetml/2006/main" count="49" uniqueCount="48">
  <si>
    <t>Employee Payroll</t>
  </si>
  <si>
    <t>Last Name</t>
  </si>
  <si>
    <t>First Name</t>
  </si>
  <si>
    <t>Hourly Worked</t>
  </si>
  <si>
    <t>House Worked</t>
  </si>
  <si>
    <t>Pay</t>
  </si>
  <si>
    <t>Sneha</t>
  </si>
  <si>
    <t>Riya</t>
  </si>
  <si>
    <t>Varun</t>
  </si>
  <si>
    <t>Preetham</t>
  </si>
  <si>
    <t>Diya</t>
  </si>
  <si>
    <t>Salam</t>
  </si>
  <si>
    <t>Arti</t>
  </si>
  <si>
    <t>Krishna</t>
  </si>
  <si>
    <t>Trisha</t>
  </si>
  <si>
    <t>Sruti</t>
  </si>
  <si>
    <t>Siya</t>
  </si>
  <si>
    <t>Mohini</t>
  </si>
  <si>
    <t>Shrutika</t>
  </si>
  <si>
    <t>Rituja</t>
  </si>
  <si>
    <t>Ahmed</t>
  </si>
  <si>
    <t>Disha</t>
  </si>
  <si>
    <t>Aliya</t>
  </si>
  <si>
    <t>Aranye</t>
  </si>
  <si>
    <t>Ron</t>
  </si>
  <si>
    <t>Amarti</t>
  </si>
  <si>
    <t>Ghagare</t>
  </si>
  <si>
    <t>Tamur</t>
  </si>
  <si>
    <t>Khan</t>
  </si>
  <si>
    <t>Dukan</t>
  </si>
  <si>
    <t>Tanam</t>
  </si>
  <si>
    <t>Rathod</t>
  </si>
  <si>
    <t>Saham</t>
  </si>
  <si>
    <t>Atunyi</t>
  </si>
  <si>
    <t>Jairam</t>
  </si>
  <si>
    <t>Gade</t>
  </si>
  <si>
    <t>Date</t>
  </si>
  <si>
    <t>Vamar</t>
  </si>
  <si>
    <t>Gage</t>
  </si>
  <si>
    <t>Chmu</t>
  </si>
  <si>
    <t>Max</t>
  </si>
  <si>
    <t>Min</t>
  </si>
  <si>
    <t>Average</t>
  </si>
  <si>
    <t>Total</t>
  </si>
  <si>
    <t>Ms.SnehaAranye</t>
  </si>
  <si>
    <t xml:space="preserve">Overtime Hours </t>
  </si>
  <si>
    <t>Overtime Bonus</t>
  </si>
  <si>
    <t>Jan Psy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</si>
</sst>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44" fontId="0" fillId="0" borderId="0" xfId="0" applyNumberFormat="1"/>
    <xf numFmtId="2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7156-CCEF-4080-A032-935CEB68B819}">
  <sheetPr>
    <pageSetUpPr fitToPage="1"/>
  </sheetPr>
  <dimension ref="A1:AD25"/>
  <sheetViews>
    <sheetView tabSelected="1" topLeftCell="A2" zoomScale="77" workbookViewId="0">
      <selection activeCell="C5" sqref="C5"/>
    </sheetView>
  </sheetViews>
  <sheetFormatPr defaultRowHeight="15" x14ac:dyDescent="0.25"/>
  <cols>
    <col min="1" max="1" width="16.140625" bestFit="1" customWidth="1"/>
    <col min="2" max="2" width="15.7109375" bestFit="1" customWidth="1"/>
    <col min="3" max="3" width="14" style="3" bestFit="1" customWidth="1"/>
    <col min="4" max="4" width="13.85546875" bestFit="1" customWidth="1"/>
    <col min="5" max="13" width="13.85546875" customWidth="1"/>
    <col min="14" max="14" width="12.28515625" bestFit="1" customWidth="1"/>
    <col min="15" max="15" width="12.7109375" customWidth="1"/>
    <col min="16" max="18" width="12.7109375" bestFit="1" customWidth="1"/>
    <col min="19" max="19" width="17.140625" customWidth="1"/>
    <col min="20" max="20" width="8.7109375" bestFit="1" customWidth="1"/>
    <col min="21" max="21" width="8.42578125" bestFit="1" customWidth="1"/>
    <col min="22" max="23" width="15" customWidth="1"/>
    <col min="24" max="25" width="12.28515625" bestFit="1" customWidth="1"/>
    <col min="26" max="27" width="12.7109375" bestFit="1" customWidth="1"/>
    <col min="28" max="28" width="12.7109375" customWidth="1"/>
    <col min="30" max="30" width="11.7109375" bestFit="1" customWidth="1"/>
  </cols>
  <sheetData>
    <row r="1" spans="1:30" x14ac:dyDescent="0.25">
      <c r="A1" t="s">
        <v>0</v>
      </c>
      <c r="B1" t="s">
        <v>44</v>
      </c>
    </row>
    <row r="2" spans="1:30" x14ac:dyDescent="0.25">
      <c r="D2" t="s">
        <v>4</v>
      </c>
      <c r="I2" t="s">
        <v>45</v>
      </c>
      <c r="N2" t="s">
        <v>5</v>
      </c>
      <c r="S2" t="s">
        <v>46</v>
      </c>
      <c r="X2" t="s">
        <v>43</v>
      </c>
      <c r="AD2" t="s">
        <v>47</v>
      </c>
    </row>
    <row r="3" spans="1:30" x14ac:dyDescent="0.25">
      <c r="A3" t="s">
        <v>1</v>
      </c>
      <c r="B3" t="s">
        <v>2</v>
      </c>
      <c r="C3" s="3" t="s">
        <v>3</v>
      </c>
      <c r="D3" s="4">
        <v>46023</v>
      </c>
      <c r="E3" s="4">
        <f>D3+7</f>
        <v>46030</v>
      </c>
      <c r="F3" s="4">
        <f t="shared" ref="F3:H3" si="0">E3+7</f>
        <v>46037</v>
      </c>
      <c r="G3" s="4">
        <f t="shared" si="0"/>
        <v>46044</v>
      </c>
      <c r="H3" s="4">
        <f t="shared" si="0"/>
        <v>46051</v>
      </c>
      <c r="I3" s="6">
        <v>46023</v>
      </c>
      <c r="J3" s="6">
        <f>I3+7</f>
        <v>46030</v>
      </c>
      <c r="K3" s="6">
        <f t="shared" ref="K3:M3" si="1">J3+7</f>
        <v>46037</v>
      </c>
      <c r="L3" s="6">
        <f t="shared" si="1"/>
        <v>46044</v>
      </c>
      <c r="M3" s="6">
        <f t="shared" si="1"/>
        <v>46051</v>
      </c>
      <c r="N3" s="8">
        <v>46023</v>
      </c>
      <c r="O3" s="8">
        <f>N3+7</f>
        <v>46030</v>
      </c>
      <c r="P3" s="8">
        <f t="shared" ref="P3:R3" si="2">O3+7</f>
        <v>46037</v>
      </c>
      <c r="Q3" s="8">
        <f t="shared" si="2"/>
        <v>46044</v>
      </c>
      <c r="R3" s="8">
        <f t="shared" si="2"/>
        <v>46051</v>
      </c>
      <c r="S3" s="10">
        <v>46023</v>
      </c>
      <c r="T3" s="10">
        <f>S3+7</f>
        <v>46030</v>
      </c>
      <c r="U3" s="10">
        <f t="shared" ref="U3:V3" si="3">T3+7</f>
        <v>46037</v>
      </c>
      <c r="V3" s="10">
        <f t="shared" si="3"/>
        <v>46044</v>
      </c>
      <c r="W3" s="10">
        <f>V3+7</f>
        <v>46051</v>
      </c>
      <c r="X3" s="12">
        <v>46023</v>
      </c>
      <c r="Y3" s="12">
        <f>X3+7</f>
        <v>46030</v>
      </c>
      <c r="Z3" s="12">
        <f t="shared" ref="Z3:AB3" si="4">Y3+7</f>
        <v>46037</v>
      </c>
      <c r="AA3" s="12">
        <f t="shared" si="4"/>
        <v>46044</v>
      </c>
      <c r="AB3" s="12">
        <f t="shared" si="4"/>
        <v>46051</v>
      </c>
      <c r="AC3" s="1"/>
      <c r="AD3" s="1"/>
    </row>
    <row r="4" spans="1:30" x14ac:dyDescent="0.25">
      <c r="A4" t="s">
        <v>6</v>
      </c>
      <c r="B4" t="s">
        <v>23</v>
      </c>
      <c r="C4" s="2">
        <v>15.74</v>
      </c>
      <c r="D4" s="5">
        <v>41</v>
      </c>
      <c r="E4" s="5">
        <v>40</v>
      </c>
      <c r="F4" s="5">
        <v>34</v>
      </c>
      <c r="G4" s="5">
        <v>35</v>
      </c>
      <c r="H4" s="5">
        <v>41</v>
      </c>
      <c r="I4" s="7">
        <f t="shared" ref="I4:I20" si="5">IF(D4&gt;40,D4-40,0)</f>
        <v>1</v>
      </c>
      <c r="J4" s="7">
        <f t="shared" ref="J4:J20" si="6">IF(E4&gt;40,E4-40,0)</f>
        <v>0</v>
      </c>
      <c r="K4" s="7">
        <f t="shared" ref="K4:K20" si="7">IF(F4&gt;40,F4-40,0)</f>
        <v>0</v>
      </c>
      <c r="L4" s="7">
        <f t="shared" ref="L4:L20" si="8">IF(G4&gt;40,G4-40,0)</f>
        <v>0</v>
      </c>
      <c r="M4" s="7">
        <f t="shared" ref="M4:M20" si="9">IF(H4&gt;40,H4-40,0)</f>
        <v>1</v>
      </c>
      <c r="N4" s="9">
        <f>$C4*D4</f>
        <v>645.34</v>
      </c>
      <c r="O4" s="9">
        <f>$C4*E4</f>
        <v>629.6</v>
      </c>
      <c r="P4" s="9">
        <f>$C4*F4</f>
        <v>535.16</v>
      </c>
      <c r="Q4" s="9">
        <f>$C4*G4</f>
        <v>550.9</v>
      </c>
      <c r="R4" s="9">
        <f>$C4*H4</f>
        <v>645.34</v>
      </c>
      <c r="S4" s="11">
        <f>0.5*$C4*I4</f>
        <v>7.87</v>
      </c>
      <c r="T4" s="11">
        <f>0.5*$C4*J4</f>
        <v>0</v>
      </c>
      <c r="U4" s="11">
        <f>0.5*$C4*K4</f>
        <v>0</v>
      </c>
      <c r="V4" s="11">
        <f t="shared" ref="V4:V20" si="10">0.5*$C4*L4</f>
        <v>0</v>
      </c>
      <c r="W4" s="11">
        <f t="shared" ref="W4:W20" si="11">0.5*$C4*M4</f>
        <v>7.87</v>
      </c>
      <c r="X4" s="13">
        <f>N4+S4</f>
        <v>653.21</v>
      </c>
      <c r="Y4" s="13">
        <f t="shared" ref="Y4:AB19" si="12">O4+T4</f>
        <v>629.6</v>
      </c>
      <c r="Z4" s="13">
        <f t="shared" si="12"/>
        <v>535.16</v>
      </c>
      <c r="AA4" s="13">
        <f t="shared" si="12"/>
        <v>550.9</v>
      </c>
      <c r="AB4" s="13">
        <f t="shared" si="12"/>
        <v>653.21</v>
      </c>
      <c r="AD4" s="2">
        <f>SUM(X4:AB4)</f>
        <v>3022.08</v>
      </c>
    </row>
    <row r="5" spans="1:30" x14ac:dyDescent="0.25">
      <c r="A5" t="s">
        <v>7</v>
      </c>
      <c r="B5" t="s">
        <v>24</v>
      </c>
      <c r="C5" s="2">
        <v>10.199999999999999</v>
      </c>
      <c r="D5" s="5">
        <v>42</v>
      </c>
      <c r="E5" s="5">
        <v>42</v>
      </c>
      <c r="F5" s="5">
        <v>40</v>
      </c>
      <c r="G5" s="5">
        <v>30</v>
      </c>
      <c r="H5" s="5">
        <v>32</v>
      </c>
      <c r="I5" s="7">
        <f t="shared" si="5"/>
        <v>2</v>
      </c>
      <c r="J5" s="7">
        <f t="shared" si="6"/>
        <v>2</v>
      </c>
      <c r="K5" s="7">
        <f t="shared" si="7"/>
        <v>0</v>
      </c>
      <c r="L5" s="7">
        <f t="shared" si="8"/>
        <v>0</v>
      </c>
      <c r="M5" s="7">
        <f t="shared" si="9"/>
        <v>0</v>
      </c>
      <c r="N5" s="9">
        <f t="shared" ref="N5:R20" si="13">$C5*D5</f>
        <v>428.4</v>
      </c>
      <c r="O5" s="9">
        <f t="shared" si="13"/>
        <v>428.4</v>
      </c>
      <c r="P5" s="9">
        <f t="shared" si="13"/>
        <v>408</v>
      </c>
      <c r="Q5" s="9">
        <f t="shared" si="13"/>
        <v>306</v>
      </c>
      <c r="R5" s="9">
        <f t="shared" si="13"/>
        <v>326.39999999999998</v>
      </c>
      <c r="S5" s="11">
        <f t="shared" ref="S5:S20" si="14">0.5*C5*I5</f>
        <v>10.199999999999999</v>
      </c>
      <c r="T5" s="11">
        <f t="shared" ref="T5:T20" si="15">0.5*D5*J5</f>
        <v>42</v>
      </c>
      <c r="U5" s="11">
        <f t="shared" ref="U5:U20" si="16">0.5*E5*K5</f>
        <v>0</v>
      </c>
      <c r="V5" s="11">
        <f t="shared" si="10"/>
        <v>0</v>
      </c>
      <c r="W5" s="11">
        <f t="shared" si="11"/>
        <v>0</v>
      </c>
      <c r="X5" s="13">
        <f t="shared" ref="X5:X20" si="17">N5+S5</f>
        <v>438.59999999999997</v>
      </c>
      <c r="Y5" s="13">
        <f t="shared" si="12"/>
        <v>470.4</v>
      </c>
      <c r="Z5" s="13">
        <f t="shared" si="12"/>
        <v>408</v>
      </c>
      <c r="AA5" s="13">
        <f t="shared" si="12"/>
        <v>306</v>
      </c>
      <c r="AB5" s="13">
        <f t="shared" si="12"/>
        <v>326.39999999999998</v>
      </c>
      <c r="AD5" s="2">
        <f t="shared" ref="AD5:AD20" si="18">SUM(X5:AB5)</f>
        <v>1949.4</v>
      </c>
    </row>
    <row r="6" spans="1:30" x14ac:dyDescent="0.25">
      <c r="A6" t="s">
        <v>8</v>
      </c>
      <c r="B6" t="s">
        <v>25</v>
      </c>
      <c r="C6" s="2">
        <v>22.1</v>
      </c>
      <c r="D6" s="5">
        <v>43</v>
      </c>
      <c r="E6" s="5">
        <v>39</v>
      </c>
      <c r="F6" s="5">
        <v>41</v>
      </c>
      <c r="G6" s="5">
        <v>30</v>
      </c>
      <c r="H6" s="5">
        <v>33</v>
      </c>
      <c r="I6" s="7">
        <f t="shared" si="5"/>
        <v>3</v>
      </c>
      <c r="J6" s="7">
        <f t="shared" si="6"/>
        <v>0</v>
      </c>
      <c r="K6" s="7">
        <f t="shared" si="7"/>
        <v>1</v>
      </c>
      <c r="L6" s="7">
        <f t="shared" si="8"/>
        <v>0</v>
      </c>
      <c r="M6" s="7">
        <f t="shared" si="9"/>
        <v>0</v>
      </c>
      <c r="N6" s="9">
        <f t="shared" si="13"/>
        <v>950.30000000000007</v>
      </c>
      <c r="O6" s="9">
        <f t="shared" si="13"/>
        <v>861.90000000000009</v>
      </c>
      <c r="P6" s="9">
        <f t="shared" si="13"/>
        <v>906.1</v>
      </c>
      <c r="Q6" s="9">
        <f t="shared" si="13"/>
        <v>663</v>
      </c>
      <c r="R6" s="9">
        <f t="shared" si="13"/>
        <v>729.30000000000007</v>
      </c>
      <c r="S6" s="11">
        <f t="shared" si="14"/>
        <v>33.150000000000006</v>
      </c>
      <c r="T6" s="11">
        <f t="shared" si="15"/>
        <v>0</v>
      </c>
      <c r="U6" s="11">
        <f t="shared" si="16"/>
        <v>19.5</v>
      </c>
      <c r="V6" s="11">
        <f t="shared" si="10"/>
        <v>0</v>
      </c>
      <c r="W6" s="11">
        <f t="shared" si="11"/>
        <v>0</v>
      </c>
      <c r="X6" s="13">
        <f t="shared" si="17"/>
        <v>983.45</v>
      </c>
      <c r="Y6" s="13">
        <f t="shared" si="12"/>
        <v>861.90000000000009</v>
      </c>
      <c r="Z6" s="13">
        <f t="shared" si="12"/>
        <v>925.6</v>
      </c>
      <c r="AA6" s="13">
        <f t="shared" si="12"/>
        <v>663</v>
      </c>
      <c r="AB6" s="13">
        <f t="shared" si="12"/>
        <v>729.30000000000007</v>
      </c>
      <c r="AD6" s="2">
        <f t="shared" si="18"/>
        <v>4163.25</v>
      </c>
    </row>
    <row r="7" spans="1:30" x14ac:dyDescent="0.25">
      <c r="A7" t="s">
        <v>9</v>
      </c>
      <c r="B7" t="s">
        <v>26</v>
      </c>
      <c r="C7" s="2">
        <v>19.100000000000001</v>
      </c>
      <c r="D7" s="5">
        <v>44</v>
      </c>
      <c r="E7" s="5">
        <v>38</v>
      </c>
      <c r="F7" s="5">
        <v>35</v>
      </c>
      <c r="G7" s="5">
        <v>26</v>
      </c>
      <c r="H7" s="5">
        <v>41</v>
      </c>
      <c r="I7" s="7">
        <f t="shared" si="5"/>
        <v>4</v>
      </c>
      <c r="J7" s="7">
        <f t="shared" si="6"/>
        <v>0</v>
      </c>
      <c r="K7" s="7">
        <f t="shared" si="7"/>
        <v>0</v>
      </c>
      <c r="L7" s="7">
        <f t="shared" si="8"/>
        <v>0</v>
      </c>
      <c r="M7" s="7">
        <f t="shared" si="9"/>
        <v>1</v>
      </c>
      <c r="N7" s="9">
        <f t="shared" si="13"/>
        <v>840.40000000000009</v>
      </c>
      <c r="O7" s="9">
        <f t="shared" si="13"/>
        <v>725.80000000000007</v>
      </c>
      <c r="P7" s="9">
        <f t="shared" si="13"/>
        <v>668.5</v>
      </c>
      <c r="Q7" s="9">
        <f t="shared" si="13"/>
        <v>496.6</v>
      </c>
      <c r="R7" s="9">
        <f t="shared" si="13"/>
        <v>783.1</v>
      </c>
      <c r="S7" s="11">
        <f t="shared" si="14"/>
        <v>38.200000000000003</v>
      </c>
      <c r="T7" s="11">
        <f t="shared" si="15"/>
        <v>0</v>
      </c>
      <c r="U7" s="11">
        <f t="shared" si="16"/>
        <v>0</v>
      </c>
      <c r="V7" s="11">
        <f t="shared" si="10"/>
        <v>0</v>
      </c>
      <c r="W7" s="11">
        <f t="shared" si="11"/>
        <v>9.5500000000000007</v>
      </c>
      <c r="X7" s="13">
        <f t="shared" si="17"/>
        <v>878.60000000000014</v>
      </c>
      <c r="Y7" s="13">
        <f t="shared" si="12"/>
        <v>725.80000000000007</v>
      </c>
      <c r="Z7" s="13">
        <f t="shared" si="12"/>
        <v>668.5</v>
      </c>
      <c r="AA7" s="13">
        <f t="shared" si="12"/>
        <v>496.6</v>
      </c>
      <c r="AB7" s="13">
        <f t="shared" si="12"/>
        <v>792.65</v>
      </c>
      <c r="AD7" s="2">
        <f t="shared" si="18"/>
        <v>3562.15</v>
      </c>
    </row>
    <row r="8" spans="1:30" x14ac:dyDescent="0.25">
      <c r="A8" t="s">
        <v>10</v>
      </c>
      <c r="B8" t="s">
        <v>27</v>
      </c>
      <c r="C8" s="2">
        <v>2.4500000000000002</v>
      </c>
      <c r="D8" s="5">
        <v>45</v>
      </c>
      <c r="E8" s="5">
        <v>37</v>
      </c>
      <c r="F8" s="5">
        <v>27</v>
      </c>
      <c r="G8" s="5">
        <v>28</v>
      </c>
      <c r="H8" s="5">
        <v>24</v>
      </c>
      <c r="I8" s="7">
        <f t="shared" si="5"/>
        <v>5</v>
      </c>
      <c r="J8" s="7">
        <f t="shared" si="6"/>
        <v>0</v>
      </c>
      <c r="K8" s="7">
        <f t="shared" si="7"/>
        <v>0</v>
      </c>
      <c r="L8" s="7">
        <f t="shared" si="8"/>
        <v>0</v>
      </c>
      <c r="M8" s="7">
        <f t="shared" si="9"/>
        <v>0</v>
      </c>
      <c r="N8" s="9">
        <f t="shared" si="13"/>
        <v>110.25000000000001</v>
      </c>
      <c r="O8" s="9">
        <f t="shared" si="13"/>
        <v>90.65</v>
      </c>
      <c r="P8" s="9">
        <f t="shared" si="13"/>
        <v>66.150000000000006</v>
      </c>
      <c r="Q8" s="9">
        <f t="shared" si="13"/>
        <v>68.600000000000009</v>
      </c>
      <c r="R8" s="9">
        <f t="shared" si="13"/>
        <v>58.800000000000004</v>
      </c>
      <c r="S8" s="11">
        <f t="shared" si="14"/>
        <v>6.125</v>
      </c>
      <c r="T8" s="11">
        <f t="shared" si="15"/>
        <v>0</v>
      </c>
      <c r="U8" s="11">
        <f t="shared" si="16"/>
        <v>0</v>
      </c>
      <c r="V8" s="11">
        <f t="shared" si="10"/>
        <v>0</v>
      </c>
      <c r="W8" s="11">
        <f t="shared" si="11"/>
        <v>0</v>
      </c>
      <c r="X8" s="13">
        <f t="shared" si="17"/>
        <v>116.37500000000001</v>
      </c>
      <c r="Y8" s="13">
        <f t="shared" si="12"/>
        <v>90.65</v>
      </c>
      <c r="Z8" s="13">
        <f t="shared" si="12"/>
        <v>66.150000000000006</v>
      </c>
      <c r="AA8" s="13">
        <f t="shared" si="12"/>
        <v>68.600000000000009</v>
      </c>
      <c r="AB8" s="13">
        <f t="shared" si="12"/>
        <v>58.800000000000004</v>
      </c>
      <c r="AD8" s="2">
        <f t="shared" si="18"/>
        <v>400.5750000000001</v>
      </c>
    </row>
    <row r="9" spans="1:30" x14ac:dyDescent="0.25">
      <c r="A9" t="s">
        <v>11</v>
      </c>
      <c r="B9" t="s">
        <v>28</v>
      </c>
      <c r="C9" s="2">
        <v>39.380000000000003</v>
      </c>
      <c r="D9" s="5">
        <v>46</v>
      </c>
      <c r="E9" s="5">
        <v>36</v>
      </c>
      <c r="F9" s="5">
        <v>38</v>
      </c>
      <c r="G9" s="5">
        <v>29</v>
      </c>
      <c r="H9" s="5">
        <v>25</v>
      </c>
      <c r="I9" s="7">
        <f t="shared" si="5"/>
        <v>6</v>
      </c>
      <c r="J9" s="7">
        <f t="shared" si="6"/>
        <v>0</v>
      </c>
      <c r="K9" s="7">
        <f t="shared" si="7"/>
        <v>0</v>
      </c>
      <c r="L9" s="7">
        <f t="shared" si="8"/>
        <v>0</v>
      </c>
      <c r="M9" s="7">
        <f t="shared" si="9"/>
        <v>0</v>
      </c>
      <c r="N9" s="9">
        <f t="shared" si="13"/>
        <v>1811.48</v>
      </c>
      <c r="O9" s="9">
        <f t="shared" si="13"/>
        <v>1417.68</v>
      </c>
      <c r="P9" s="9">
        <f t="shared" si="13"/>
        <v>1496.44</v>
      </c>
      <c r="Q9" s="9">
        <f t="shared" si="13"/>
        <v>1142.02</v>
      </c>
      <c r="R9" s="9">
        <f t="shared" si="13"/>
        <v>984.50000000000011</v>
      </c>
      <c r="S9" s="11">
        <f t="shared" si="14"/>
        <v>118.14000000000001</v>
      </c>
      <c r="T9" s="11">
        <f t="shared" si="15"/>
        <v>0</v>
      </c>
      <c r="U9" s="11">
        <f t="shared" si="16"/>
        <v>0</v>
      </c>
      <c r="V9" s="11">
        <f t="shared" si="10"/>
        <v>0</v>
      </c>
      <c r="W9" s="11">
        <f t="shared" si="11"/>
        <v>0</v>
      </c>
      <c r="X9" s="13">
        <f>N9+S9</f>
        <v>1929.6200000000001</v>
      </c>
      <c r="Y9" s="13">
        <f>O9+T9</f>
        <v>1417.68</v>
      </c>
      <c r="Z9" s="13">
        <f t="shared" si="12"/>
        <v>1496.44</v>
      </c>
      <c r="AA9" s="13">
        <f t="shared" si="12"/>
        <v>1142.02</v>
      </c>
      <c r="AB9" s="13">
        <f t="shared" si="12"/>
        <v>984.50000000000011</v>
      </c>
      <c r="AD9" s="2">
        <f t="shared" si="18"/>
        <v>6970.26</v>
      </c>
    </row>
    <row r="10" spans="1:30" x14ac:dyDescent="0.25">
      <c r="A10" t="s">
        <v>12</v>
      </c>
      <c r="B10" t="s">
        <v>29</v>
      </c>
      <c r="C10" s="2">
        <v>16.399999999999999</v>
      </c>
      <c r="D10" s="5">
        <v>42</v>
      </c>
      <c r="E10" s="5">
        <v>34</v>
      </c>
      <c r="F10" s="5">
        <v>30</v>
      </c>
      <c r="G10" s="5">
        <v>20</v>
      </c>
      <c r="H10" s="5">
        <v>26</v>
      </c>
      <c r="I10" s="7">
        <f t="shared" si="5"/>
        <v>2</v>
      </c>
      <c r="J10" s="7">
        <f t="shared" si="6"/>
        <v>0</v>
      </c>
      <c r="K10" s="7">
        <f t="shared" si="7"/>
        <v>0</v>
      </c>
      <c r="L10" s="7">
        <f t="shared" si="8"/>
        <v>0</v>
      </c>
      <c r="M10" s="7">
        <f t="shared" si="9"/>
        <v>0</v>
      </c>
      <c r="N10" s="9">
        <f t="shared" si="13"/>
        <v>688.8</v>
      </c>
      <c r="O10" s="9">
        <f t="shared" si="13"/>
        <v>557.59999999999991</v>
      </c>
      <c r="P10" s="9">
        <f t="shared" si="13"/>
        <v>491.99999999999994</v>
      </c>
      <c r="Q10" s="9">
        <f t="shared" si="13"/>
        <v>328</v>
      </c>
      <c r="R10" s="9">
        <f t="shared" si="13"/>
        <v>426.4</v>
      </c>
      <c r="S10" s="11">
        <f t="shared" si="14"/>
        <v>16.399999999999999</v>
      </c>
      <c r="T10" s="11">
        <f t="shared" si="15"/>
        <v>0</v>
      </c>
      <c r="U10" s="11">
        <f t="shared" si="16"/>
        <v>0</v>
      </c>
      <c r="V10" s="11">
        <f t="shared" si="10"/>
        <v>0</v>
      </c>
      <c r="W10" s="11">
        <f t="shared" si="11"/>
        <v>0</v>
      </c>
      <c r="X10" s="13">
        <f t="shared" si="17"/>
        <v>705.19999999999993</v>
      </c>
      <c r="Y10" s="13">
        <f t="shared" si="12"/>
        <v>557.59999999999991</v>
      </c>
      <c r="Z10" s="13">
        <f t="shared" si="12"/>
        <v>491.99999999999994</v>
      </c>
      <c r="AA10" s="13">
        <f t="shared" si="12"/>
        <v>328</v>
      </c>
      <c r="AB10" s="13">
        <f t="shared" si="12"/>
        <v>426.4</v>
      </c>
      <c r="AD10" s="2">
        <f t="shared" si="18"/>
        <v>2509.1999999999998</v>
      </c>
    </row>
    <row r="11" spans="1:30" x14ac:dyDescent="0.25">
      <c r="A11" t="s">
        <v>13</v>
      </c>
      <c r="B11" t="s">
        <v>30</v>
      </c>
      <c r="C11" s="2">
        <v>30.4</v>
      </c>
      <c r="D11" s="5">
        <v>48</v>
      </c>
      <c r="E11" s="5">
        <v>35</v>
      </c>
      <c r="F11" s="5">
        <v>30</v>
      </c>
      <c r="G11" s="5">
        <v>30</v>
      </c>
      <c r="H11" s="5">
        <v>28</v>
      </c>
      <c r="I11" s="7">
        <f t="shared" si="5"/>
        <v>8</v>
      </c>
      <c r="J11" s="7">
        <f t="shared" si="6"/>
        <v>0</v>
      </c>
      <c r="K11" s="7">
        <f t="shared" si="7"/>
        <v>0</v>
      </c>
      <c r="L11" s="7">
        <f t="shared" si="8"/>
        <v>0</v>
      </c>
      <c r="M11" s="7">
        <f t="shared" si="9"/>
        <v>0</v>
      </c>
      <c r="N11" s="9">
        <f t="shared" si="13"/>
        <v>1459.1999999999998</v>
      </c>
      <c r="O11" s="9">
        <f t="shared" si="13"/>
        <v>1064</v>
      </c>
      <c r="P11" s="9">
        <f t="shared" si="13"/>
        <v>912</v>
      </c>
      <c r="Q11" s="9">
        <f t="shared" si="13"/>
        <v>912</v>
      </c>
      <c r="R11" s="9">
        <f t="shared" si="13"/>
        <v>851.19999999999993</v>
      </c>
      <c r="S11" s="11">
        <f t="shared" si="14"/>
        <v>121.6</v>
      </c>
      <c r="T11" s="11">
        <f t="shared" si="15"/>
        <v>0</v>
      </c>
      <c r="U11" s="11">
        <f t="shared" si="16"/>
        <v>0</v>
      </c>
      <c r="V11" s="11">
        <f t="shared" si="10"/>
        <v>0</v>
      </c>
      <c r="W11" s="11">
        <f t="shared" si="11"/>
        <v>0</v>
      </c>
      <c r="X11" s="13">
        <f t="shared" si="17"/>
        <v>1580.7999999999997</v>
      </c>
      <c r="Y11" s="13">
        <f>O11+T11</f>
        <v>1064</v>
      </c>
      <c r="Z11" s="13">
        <f t="shared" si="12"/>
        <v>912</v>
      </c>
      <c r="AA11" s="13">
        <f t="shared" si="12"/>
        <v>912</v>
      </c>
      <c r="AB11" s="13">
        <f t="shared" si="12"/>
        <v>851.19999999999993</v>
      </c>
      <c r="AD11" s="2">
        <f t="shared" si="18"/>
        <v>5319.9999999999991</v>
      </c>
    </row>
    <row r="12" spans="1:30" x14ac:dyDescent="0.25">
      <c r="A12" t="s">
        <v>14</v>
      </c>
      <c r="B12" t="s">
        <v>31</v>
      </c>
      <c r="C12" s="2">
        <v>20.48</v>
      </c>
      <c r="D12" s="5">
        <v>49</v>
      </c>
      <c r="E12" s="5">
        <v>35</v>
      </c>
      <c r="F12" s="5">
        <v>40</v>
      </c>
      <c r="G12" s="5">
        <v>40</v>
      </c>
      <c r="H12" s="5">
        <v>37</v>
      </c>
      <c r="I12" s="7">
        <f t="shared" si="5"/>
        <v>9</v>
      </c>
      <c r="J12" s="7">
        <f t="shared" si="6"/>
        <v>0</v>
      </c>
      <c r="K12" s="7">
        <f t="shared" si="7"/>
        <v>0</v>
      </c>
      <c r="L12" s="7">
        <f t="shared" si="8"/>
        <v>0</v>
      </c>
      <c r="M12" s="7">
        <f t="shared" si="9"/>
        <v>0</v>
      </c>
      <c r="N12" s="9">
        <f t="shared" si="13"/>
        <v>1003.52</v>
      </c>
      <c r="O12" s="9">
        <f t="shared" si="13"/>
        <v>716.80000000000007</v>
      </c>
      <c r="P12" s="9">
        <f t="shared" si="13"/>
        <v>819.2</v>
      </c>
      <c r="Q12" s="9">
        <f t="shared" si="13"/>
        <v>819.2</v>
      </c>
      <c r="R12" s="9">
        <f t="shared" si="13"/>
        <v>757.76</v>
      </c>
      <c r="S12" s="11">
        <f t="shared" si="14"/>
        <v>92.16</v>
      </c>
      <c r="T12" s="11">
        <f t="shared" si="15"/>
        <v>0</v>
      </c>
      <c r="U12" s="11">
        <f t="shared" si="16"/>
        <v>0</v>
      </c>
      <c r="V12" s="11">
        <f t="shared" si="10"/>
        <v>0</v>
      </c>
      <c r="W12" s="11">
        <f t="shared" si="11"/>
        <v>0</v>
      </c>
      <c r="X12" s="13">
        <f t="shared" si="17"/>
        <v>1095.68</v>
      </c>
      <c r="Y12" s="13">
        <f t="shared" si="12"/>
        <v>716.80000000000007</v>
      </c>
      <c r="Z12" s="13">
        <f t="shared" si="12"/>
        <v>819.2</v>
      </c>
      <c r="AA12" s="13">
        <f t="shared" si="12"/>
        <v>819.2</v>
      </c>
      <c r="AB12" s="13">
        <f t="shared" si="12"/>
        <v>757.76</v>
      </c>
      <c r="AD12" s="2">
        <f t="shared" si="18"/>
        <v>4208.6400000000003</v>
      </c>
    </row>
    <row r="13" spans="1:30" x14ac:dyDescent="0.25">
      <c r="A13" t="s">
        <v>15</v>
      </c>
      <c r="B13" t="s">
        <v>32</v>
      </c>
      <c r="C13" s="2">
        <v>19.399999999999999</v>
      </c>
      <c r="D13" s="5">
        <v>40</v>
      </c>
      <c r="E13" s="5">
        <v>32</v>
      </c>
      <c r="F13" s="5">
        <v>37</v>
      </c>
      <c r="G13" s="5">
        <v>40</v>
      </c>
      <c r="H13" s="5">
        <v>38</v>
      </c>
      <c r="I13" s="7">
        <f t="shared" si="5"/>
        <v>0</v>
      </c>
      <c r="J13" s="7">
        <f t="shared" si="6"/>
        <v>0</v>
      </c>
      <c r="K13" s="7">
        <f t="shared" si="7"/>
        <v>0</v>
      </c>
      <c r="L13" s="7">
        <f t="shared" si="8"/>
        <v>0</v>
      </c>
      <c r="M13" s="7">
        <f t="shared" si="9"/>
        <v>0</v>
      </c>
      <c r="N13" s="9">
        <f t="shared" si="13"/>
        <v>776</v>
      </c>
      <c r="O13" s="9">
        <f t="shared" si="13"/>
        <v>620.79999999999995</v>
      </c>
      <c r="P13" s="9">
        <f t="shared" si="13"/>
        <v>717.8</v>
      </c>
      <c r="Q13" s="9">
        <f t="shared" si="13"/>
        <v>776</v>
      </c>
      <c r="R13" s="9">
        <f t="shared" si="13"/>
        <v>737.19999999999993</v>
      </c>
      <c r="S13" s="11">
        <f t="shared" si="14"/>
        <v>0</v>
      </c>
      <c r="T13" s="11">
        <f t="shared" si="15"/>
        <v>0</v>
      </c>
      <c r="U13" s="11">
        <f t="shared" si="16"/>
        <v>0</v>
      </c>
      <c r="V13" s="11">
        <f t="shared" si="10"/>
        <v>0</v>
      </c>
      <c r="W13" s="11">
        <f t="shared" si="11"/>
        <v>0</v>
      </c>
      <c r="X13" s="13">
        <f t="shared" si="17"/>
        <v>776</v>
      </c>
      <c r="Y13" s="13">
        <f t="shared" si="12"/>
        <v>620.79999999999995</v>
      </c>
      <c r="Z13" s="13">
        <f t="shared" si="12"/>
        <v>717.8</v>
      </c>
      <c r="AA13" s="13">
        <f t="shared" si="12"/>
        <v>776</v>
      </c>
      <c r="AB13" s="13">
        <f t="shared" si="12"/>
        <v>737.19999999999993</v>
      </c>
      <c r="AD13" s="2">
        <f t="shared" si="18"/>
        <v>3627.7999999999997</v>
      </c>
    </row>
    <row r="14" spans="1:30" x14ac:dyDescent="0.25">
      <c r="A14" t="s">
        <v>16</v>
      </c>
      <c r="B14" t="s">
        <v>33</v>
      </c>
      <c r="C14" s="2">
        <v>34.6</v>
      </c>
      <c r="D14" s="5">
        <v>38</v>
      </c>
      <c r="E14" s="5">
        <v>35</v>
      </c>
      <c r="F14" s="5">
        <v>37</v>
      </c>
      <c r="G14" s="5">
        <v>40</v>
      </c>
      <c r="H14" s="5">
        <v>39</v>
      </c>
      <c r="I14" s="7">
        <f t="shared" si="5"/>
        <v>0</v>
      </c>
      <c r="J14" s="7">
        <f t="shared" si="6"/>
        <v>0</v>
      </c>
      <c r="K14" s="7">
        <f t="shared" si="7"/>
        <v>0</v>
      </c>
      <c r="L14" s="7">
        <f t="shared" si="8"/>
        <v>0</v>
      </c>
      <c r="M14" s="7">
        <f t="shared" si="9"/>
        <v>0</v>
      </c>
      <c r="N14" s="9">
        <f t="shared" si="13"/>
        <v>1314.8</v>
      </c>
      <c r="O14" s="9">
        <f t="shared" si="13"/>
        <v>1211</v>
      </c>
      <c r="P14" s="9">
        <f t="shared" si="13"/>
        <v>1280.2</v>
      </c>
      <c r="Q14" s="9">
        <f t="shared" si="13"/>
        <v>1384</v>
      </c>
      <c r="R14" s="9">
        <f t="shared" si="13"/>
        <v>1349.4</v>
      </c>
      <c r="S14" s="11">
        <f t="shared" si="14"/>
        <v>0</v>
      </c>
      <c r="T14" s="11">
        <f t="shared" si="15"/>
        <v>0</v>
      </c>
      <c r="U14" s="11">
        <f t="shared" si="16"/>
        <v>0</v>
      </c>
      <c r="V14" s="11">
        <f t="shared" si="10"/>
        <v>0</v>
      </c>
      <c r="W14" s="11">
        <f t="shared" si="11"/>
        <v>0</v>
      </c>
      <c r="X14" s="13">
        <f t="shared" si="17"/>
        <v>1314.8</v>
      </c>
      <c r="Y14" s="13">
        <f t="shared" si="12"/>
        <v>1211</v>
      </c>
      <c r="Z14" s="13">
        <f t="shared" si="12"/>
        <v>1280.2</v>
      </c>
      <c r="AA14" s="13">
        <f t="shared" si="12"/>
        <v>1384</v>
      </c>
      <c r="AB14" s="13">
        <f t="shared" si="12"/>
        <v>1349.4</v>
      </c>
      <c r="AD14" s="2">
        <f t="shared" si="18"/>
        <v>6539.4</v>
      </c>
    </row>
    <row r="15" spans="1:30" x14ac:dyDescent="0.25">
      <c r="A15" t="s">
        <v>17</v>
      </c>
      <c r="B15" t="s">
        <v>34</v>
      </c>
      <c r="C15" s="2">
        <v>39.5</v>
      </c>
      <c r="D15" s="5">
        <v>35</v>
      </c>
      <c r="E15" s="5">
        <v>38</v>
      </c>
      <c r="F15" s="5">
        <v>37</v>
      </c>
      <c r="G15" s="5">
        <v>41</v>
      </c>
      <c r="H15" s="5">
        <v>41</v>
      </c>
      <c r="I15" s="7">
        <f t="shared" si="5"/>
        <v>0</v>
      </c>
      <c r="J15" s="7">
        <f t="shared" si="6"/>
        <v>0</v>
      </c>
      <c r="K15" s="7">
        <f t="shared" si="7"/>
        <v>0</v>
      </c>
      <c r="L15" s="7">
        <f t="shared" si="8"/>
        <v>1</v>
      </c>
      <c r="M15" s="7">
        <f t="shared" si="9"/>
        <v>1</v>
      </c>
      <c r="N15" s="9">
        <f t="shared" si="13"/>
        <v>1382.5</v>
      </c>
      <c r="O15" s="9">
        <f t="shared" si="13"/>
        <v>1501</v>
      </c>
      <c r="P15" s="9">
        <f t="shared" si="13"/>
        <v>1461.5</v>
      </c>
      <c r="Q15" s="9">
        <f t="shared" si="13"/>
        <v>1619.5</v>
      </c>
      <c r="R15" s="9">
        <f t="shared" si="13"/>
        <v>1619.5</v>
      </c>
      <c r="S15" s="11">
        <f t="shared" si="14"/>
        <v>0</v>
      </c>
      <c r="T15" s="11">
        <f t="shared" si="15"/>
        <v>0</v>
      </c>
      <c r="U15" s="11">
        <f t="shared" si="16"/>
        <v>0</v>
      </c>
      <c r="V15" s="11">
        <f t="shared" si="10"/>
        <v>19.75</v>
      </c>
      <c r="W15" s="11">
        <f t="shared" si="11"/>
        <v>19.75</v>
      </c>
      <c r="X15" s="13">
        <f t="shared" si="17"/>
        <v>1382.5</v>
      </c>
      <c r="Y15" s="13">
        <f t="shared" si="12"/>
        <v>1501</v>
      </c>
      <c r="Z15" s="13">
        <f t="shared" si="12"/>
        <v>1461.5</v>
      </c>
      <c r="AA15" s="13">
        <f t="shared" si="12"/>
        <v>1639.25</v>
      </c>
      <c r="AB15" s="13">
        <f t="shared" si="12"/>
        <v>1639.25</v>
      </c>
      <c r="AD15" s="2">
        <f t="shared" si="18"/>
        <v>7623.5</v>
      </c>
    </row>
    <row r="16" spans="1:30" x14ac:dyDescent="0.25">
      <c r="A16" t="s">
        <v>18</v>
      </c>
      <c r="B16" t="s">
        <v>35</v>
      </c>
      <c r="C16" s="2">
        <v>8.59</v>
      </c>
      <c r="D16" s="5">
        <v>37</v>
      </c>
      <c r="E16" s="5">
        <v>40</v>
      </c>
      <c r="F16" s="5">
        <v>37</v>
      </c>
      <c r="G16" s="5">
        <v>40</v>
      </c>
      <c r="H16" s="5">
        <v>42</v>
      </c>
      <c r="I16" s="7">
        <f t="shared" si="5"/>
        <v>0</v>
      </c>
      <c r="J16" s="7">
        <f t="shared" si="6"/>
        <v>0</v>
      </c>
      <c r="K16" s="7">
        <f t="shared" si="7"/>
        <v>0</v>
      </c>
      <c r="L16" s="7">
        <f t="shared" si="8"/>
        <v>0</v>
      </c>
      <c r="M16" s="7">
        <f t="shared" si="9"/>
        <v>2</v>
      </c>
      <c r="N16" s="9">
        <f t="shared" si="13"/>
        <v>317.83</v>
      </c>
      <c r="O16" s="9">
        <f t="shared" si="13"/>
        <v>343.6</v>
      </c>
      <c r="P16" s="9">
        <f t="shared" si="13"/>
        <v>317.83</v>
      </c>
      <c r="Q16" s="9">
        <f t="shared" si="13"/>
        <v>343.6</v>
      </c>
      <c r="R16" s="9">
        <f t="shared" si="13"/>
        <v>360.78</v>
      </c>
      <c r="S16" s="11">
        <f t="shared" si="14"/>
        <v>0</v>
      </c>
      <c r="T16" s="11">
        <f t="shared" si="15"/>
        <v>0</v>
      </c>
      <c r="U16" s="11">
        <f t="shared" si="16"/>
        <v>0</v>
      </c>
      <c r="V16" s="11">
        <f t="shared" si="10"/>
        <v>0</v>
      </c>
      <c r="W16" s="11">
        <f t="shared" si="11"/>
        <v>8.59</v>
      </c>
      <c r="X16" s="13">
        <f t="shared" si="17"/>
        <v>317.83</v>
      </c>
      <c r="Y16" s="13">
        <f t="shared" si="12"/>
        <v>343.6</v>
      </c>
      <c r="Z16" s="13">
        <f t="shared" si="12"/>
        <v>317.83</v>
      </c>
      <c r="AA16" s="13">
        <f t="shared" si="12"/>
        <v>343.6</v>
      </c>
      <c r="AB16" s="13">
        <f t="shared" si="12"/>
        <v>369.36999999999995</v>
      </c>
      <c r="AD16" s="2">
        <f t="shared" si="18"/>
        <v>1692.23</v>
      </c>
    </row>
    <row r="17" spans="1:30" x14ac:dyDescent="0.25">
      <c r="A17" t="s">
        <v>19</v>
      </c>
      <c r="B17" t="s">
        <v>36</v>
      </c>
      <c r="C17" s="2">
        <v>38.5</v>
      </c>
      <c r="D17" s="5">
        <v>38</v>
      </c>
      <c r="E17" s="5">
        <v>39</v>
      </c>
      <c r="F17" s="5">
        <v>37</v>
      </c>
      <c r="G17" s="5">
        <v>37</v>
      </c>
      <c r="H17" s="5">
        <v>28</v>
      </c>
      <c r="I17" s="7">
        <f t="shared" si="5"/>
        <v>0</v>
      </c>
      <c r="J17" s="7">
        <f t="shared" si="6"/>
        <v>0</v>
      </c>
      <c r="K17" s="7">
        <f t="shared" si="7"/>
        <v>0</v>
      </c>
      <c r="L17" s="7">
        <f t="shared" si="8"/>
        <v>0</v>
      </c>
      <c r="M17" s="7">
        <f t="shared" si="9"/>
        <v>0</v>
      </c>
      <c r="N17" s="9">
        <f t="shared" si="13"/>
        <v>1463</v>
      </c>
      <c r="O17" s="9">
        <f t="shared" si="13"/>
        <v>1501.5</v>
      </c>
      <c r="P17" s="9">
        <f t="shared" si="13"/>
        <v>1424.5</v>
      </c>
      <c r="Q17" s="9">
        <f t="shared" si="13"/>
        <v>1424.5</v>
      </c>
      <c r="R17" s="9">
        <f t="shared" si="13"/>
        <v>1078</v>
      </c>
      <c r="S17" s="11">
        <f t="shared" si="14"/>
        <v>0</v>
      </c>
      <c r="T17" s="11">
        <f t="shared" si="15"/>
        <v>0</v>
      </c>
      <c r="U17" s="11">
        <f t="shared" si="16"/>
        <v>0</v>
      </c>
      <c r="V17" s="11">
        <f t="shared" si="10"/>
        <v>0</v>
      </c>
      <c r="W17" s="11">
        <f t="shared" si="11"/>
        <v>0</v>
      </c>
      <c r="X17" s="13">
        <f t="shared" si="17"/>
        <v>1463</v>
      </c>
      <c r="Y17" s="13">
        <f t="shared" si="12"/>
        <v>1501.5</v>
      </c>
      <c r="Z17" s="13">
        <f t="shared" si="12"/>
        <v>1424.5</v>
      </c>
      <c r="AA17" s="13">
        <f t="shared" si="12"/>
        <v>1424.5</v>
      </c>
      <c r="AB17" s="13">
        <f t="shared" si="12"/>
        <v>1078</v>
      </c>
      <c r="AD17" s="2">
        <f t="shared" si="18"/>
        <v>6891.5</v>
      </c>
    </row>
    <row r="18" spans="1:30" x14ac:dyDescent="0.25">
      <c r="A18" t="s">
        <v>20</v>
      </c>
      <c r="B18" t="s">
        <v>37</v>
      </c>
      <c r="C18" s="2">
        <v>20.100000000000001</v>
      </c>
      <c r="D18" s="5">
        <v>39</v>
      </c>
      <c r="E18" s="5">
        <v>41</v>
      </c>
      <c r="F18" s="5">
        <v>37</v>
      </c>
      <c r="G18" s="5">
        <v>39</v>
      </c>
      <c r="H18" s="5">
        <v>29</v>
      </c>
      <c r="I18" s="7">
        <f t="shared" si="5"/>
        <v>0</v>
      </c>
      <c r="J18" s="7">
        <f t="shared" si="6"/>
        <v>1</v>
      </c>
      <c r="K18" s="7">
        <f t="shared" si="7"/>
        <v>0</v>
      </c>
      <c r="L18" s="7">
        <f t="shared" si="8"/>
        <v>0</v>
      </c>
      <c r="M18" s="7">
        <f t="shared" si="9"/>
        <v>0</v>
      </c>
      <c r="N18" s="9">
        <f t="shared" si="13"/>
        <v>783.90000000000009</v>
      </c>
      <c r="O18" s="9">
        <f t="shared" si="13"/>
        <v>824.1</v>
      </c>
      <c r="P18" s="9">
        <f t="shared" si="13"/>
        <v>743.7</v>
      </c>
      <c r="Q18" s="9">
        <f t="shared" si="13"/>
        <v>783.90000000000009</v>
      </c>
      <c r="R18" s="9">
        <f t="shared" si="13"/>
        <v>582.90000000000009</v>
      </c>
      <c r="S18" s="11">
        <f t="shared" si="14"/>
        <v>0</v>
      </c>
      <c r="T18" s="11">
        <f t="shared" si="15"/>
        <v>19.5</v>
      </c>
      <c r="U18" s="11">
        <f t="shared" si="16"/>
        <v>0</v>
      </c>
      <c r="V18" s="11">
        <f t="shared" si="10"/>
        <v>0</v>
      </c>
      <c r="W18" s="11">
        <f t="shared" si="11"/>
        <v>0</v>
      </c>
      <c r="X18" s="13">
        <f t="shared" si="17"/>
        <v>783.90000000000009</v>
      </c>
      <c r="Y18" s="13">
        <f t="shared" si="12"/>
        <v>843.6</v>
      </c>
      <c r="Z18" s="13">
        <f t="shared" si="12"/>
        <v>743.7</v>
      </c>
      <c r="AA18" s="13">
        <f t="shared" si="12"/>
        <v>783.90000000000009</v>
      </c>
      <c r="AB18" s="13">
        <f t="shared" si="12"/>
        <v>582.90000000000009</v>
      </c>
      <c r="AD18" s="2">
        <f t="shared" si="18"/>
        <v>3738</v>
      </c>
    </row>
    <row r="19" spans="1:30" x14ac:dyDescent="0.25">
      <c r="A19" t="s">
        <v>21</v>
      </c>
      <c r="B19" t="s">
        <v>38</v>
      </c>
      <c r="C19" s="2">
        <v>30.19</v>
      </c>
      <c r="D19" s="5">
        <v>42</v>
      </c>
      <c r="E19" s="5">
        <v>38</v>
      </c>
      <c r="F19" s="5">
        <v>37</v>
      </c>
      <c r="G19" s="5">
        <v>38</v>
      </c>
      <c r="H19" s="5">
        <v>31</v>
      </c>
      <c r="I19" s="7">
        <f t="shared" si="5"/>
        <v>2</v>
      </c>
      <c r="J19" s="7">
        <f t="shared" si="6"/>
        <v>0</v>
      </c>
      <c r="K19" s="7">
        <f t="shared" si="7"/>
        <v>0</v>
      </c>
      <c r="L19" s="7">
        <f t="shared" si="8"/>
        <v>0</v>
      </c>
      <c r="M19" s="7">
        <f t="shared" si="9"/>
        <v>0</v>
      </c>
      <c r="N19" s="9">
        <f t="shared" si="13"/>
        <v>1267.98</v>
      </c>
      <c r="O19" s="9">
        <f t="shared" si="13"/>
        <v>1147.22</v>
      </c>
      <c r="P19" s="9">
        <f t="shared" si="13"/>
        <v>1117.03</v>
      </c>
      <c r="Q19" s="9">
        <f t="shared" si="13"/>
        <v>1147.22</v>
      </c>
      <c r="R19" s="9">
        <f t="shared" si="13"/>
        <v>935.89</v>
      </c>
      <c r="S19" s="11">
        <f t="shared" si="14"/>
        <v>30.19</v>
      </c>
      <c r="T19" s="11">
        <f t="shared" si="15"/>
        <v>0</v>
      </c>
      <c r="U19" s="11">
        <f t="shared" si="16"/>
        <v>0</v>
      </c>
      <c r="V19" s="11">
        <f t="shared" si="10"/>
        <v>0</v>
      </c>
      <c r="W19" s="11">
        <f t="shared" si="11"/>
        <v>0</v>
      </c>
      <c r="X19" s="13">
        <f t="shared" si="17"/>
        <v>1298.17</v>
      </c>
      <c r="Y19" s="13">
        <f t="shared" si="12"/>
        <v>1147.22</v>
      </c>
      <c r="Z19" s="13">
        <f t="shared" si="12"/>
        <v>1117.03</v>
      </c>
      <c r="AA19" s="13">
        <f t="shared" si="12"/>
        <v>1147.22</v>
      </c>
      <c r="AB19" s="13">
        <f t="shared" si="12"/>
        <v>935.89</v>
      </c>
      <c r="AD19" s="2">
        <f t="shared" si="18"/>
        <v>5645.5300000000007</v>
      </c>
    </row>
    <row r="20" spans="1:30" x14ac:dyDescent="0.25">
      <c r="A20" t="s">
        <v>22</v>
      </c>
      <c r="B20" t="s">
        <v>39</v>
      </c>
      <c r="C20" s="2">
        <v>35.450000000000003</v>
      </c>
      <c r="D20" s="5">
        <v>32</v>
      </c>
      <c r="E20" s="5">
        <v>29</v>
      </c>
      <c r="F20" s="5">
        <v>37</v>
      </c>
      <c r="G20" s="5">
        <v>37</v>
      </c>
      <c r="H20" s="5">
        <v>32</v>
      </c>
      <c r="I20" s="7">
        <f t="shared" si="5"/>
        <v>0</v>
      </c>
      <c r="J20" s="7">
        <f t="shared" si="6"/>
        <v>0</v>
      </c>
      <c r="K20" s="7">
        <f t="shared" si="7"/>
        <v>0</v>
      </c>
      <c r="L20" s="7">
        <f t="shared" si="8"/>
        <v>0</v>
      </c>
      <c r="M20" s="7">
        <f t="shared" si="9"/>
        <v>0</v>
      </c>
      <c r="N20" s="9">
        <f t="shared" si="13"/>
        <v>1134.4000000000001</v>
      </c>
      <c r="O20" s="9">
        <f t="shared" si="13"/>
        <v>1028.0500000000002</v>
      </c>
      <c r="P20" s="9">
        <f t="shared" si="13"/>
        <v>1311.65</v>
      </c>
      <c r="Q20" s="9">
        <f t="shared" si="13"/>
        <v>1311.65</v>
      </c>
      <c r="R20" s="9">
        <f t="shared" si="13"/>
        <v>1134.4000000000001</v>
      </c>
      <c r="S20" s="11">
        <f t="shared" si="14"/>
        <v>0</v>
      </c>
      <c r="T20" s="11">
        <f t="shared" si="15"/>
        <v>0</v>
      </c>
      <c r="U20" s="11">
        <f t="shared" si="16"/>
        <v>0</v>
      </c>
      <c r="V20" s="11">
        <f t="shared" si="10"/>
        <v>0</v>
      </c>
      <c r="W20" s="11">
        <f t="shared" si="11"/>
        <v>0</v>
      </c>
      <c r="X20" s="13">
        <f t="shared" si="17"/>
        <v>1134.4000000000001</v>
      </c>
      <c r="Y20" s="13">
        <f t="shared" ref="Y20" si="19">O20+T20</f>
        <v>1028.0500000000002</v>
      </c>
      <c r="Z20" s="13">
        <f t="shared" ref="Z20" si="20">P20+U20</f>
        <v>1311.65</v>
      </c>
      <c r="AA20" s="13">
        <f t="shared" ref="AA20" si="21">Q20+V20</f>
        <v>1311.65</v>
      </c>
      <c r="AB20" s="13">
        <f t="shared" ref="AB20" si="22">R20+W20</f>
        <v>1134.4000000000001</v>
      </c>
      <c r="AD20" s="2">
        <f t="shared" si="18"/>
        <v>5920.15</v>
      </c>
    </row>
    <row r="21" spans="1:30" x14ac:dyDescent="0.25">
      <c r="N21" s="2"/>
      <c r="O21" s="2"/>
      <c r="P21" s="2"/>
      <c r="Q21" s="2"/>
      <c r="R21" s="2"/>
    </row>
    <row r="22" spans="1:30" x14ac:dyDescent="0.25">
      <c r="A22" t="s">
        <v>40</v>
      </c>
      <c r="C22" s="2">
        <f>MAX(C4:C20)</f>
        <v>39.5</v>
      </c>
      <c r="D22" s="3">
        <f>MAX(D4:D20)</f>
        <v>49</v>
      </c>
      <c r="E22" s="3"/>
      <c r="F22" s="3"/>
      <c r="G22" s="3"/>
      <c r="H22" s="3"/>
      <c r="I22" s="3"/>
      <c r="J22" s="3"/>
      <c r="K22" s="3"/>
      <c r="L22" s="3"/>
      <c r="M22" s="3"/>
      <c r="N22" s="2">
        <f>MAX(N4:N20)</f>
        <v>1811.48</v>
      </c>
      <c r="O22" s="2">
        <f t="shared" ref="O22:AB22" si="23">MAX(O4:O20)</f>
        <v>1501.5</v>
      </c>
      <c r="P22" s="2">
        <f t="shared" si="23"/>
        <v>1496.44</v>
      </c>
      <c r="Q22" s="2">
        <f t="shared" si="23"/>
        <v>1619.5</v>
      </c>
      <c r="R22" s="2">
        <f t="shared" si="23"/>
        <v>1619.5</v>
      </c>
      <c r="S22" s="2">
        <f t="shared" si="23"/>
        <v>121.6</v>
      </c>
      <c r="T22" s="2">
        <f t="shared" si="23"/>
        <v>42</v>
      </c>
      <c r="U22" s="2">
        <f t="shared" si="23"/>
        <v>19.5</v>
      </c>
      <c r="V22" s="2">
        <f t="shared" si="23"/>
        <v>19.75</v>
      </c>
      <c r="W22" s="2">
        <f t="shared" si="23"/>
        <v>19.75</v>
      </c>
      <c r="X22" s="2">
        <f t="shared" si="23"/>
        <v>1929.6200000000001</v>
      </c>
      <c r="Y22" s="2">
        <f t="shared" si="23"/>
        <v>1501.5</v>
      </c>
      <c r="Z22" s="2">
        <f t="shared" si="23"/>
        <v>1496.44</v>
      </c>
      <c r="AA22" s="2">
        <f t="shared" si="23"/>
        <v>1639.25</v>
      </c>
      <c r="AB22" s="2">
        <f t="shared" si="23"/>
        <v>1639.25</v>
      </c>
      <c r="AD22" s="2">
        <f t="shared" ref="AD22" si="24">MAX(AD4:AD20)</f>
        <v>7623.5</v>
      </c>
    </row>
    <row r="23" spans="1:30" x14ac:dyDescent="0.25">
      <c r="A23" t="s">
        <v>41</v>
      </c>
      <c r="C23" s="2">
        <f>MIN(C4:C20)</f>
        <v>2.4500000000000002</v>
      </c>
      <c r="D23" s="3">
        <f>MIN(D4:D20)</f>
        <v>32</v>
      </c>
      <c r="E23" s="3"/>
      <c r="F23" s="3"/>
      <c r="G23" s="3"/>
      <c r="H23" s="3"/>
      <c r="I23" s="3"/>
      <c r="J23" s="3"/>
      <c r="K23" s="3"/>
      <c r="L23" s="3"/>
      <c r="M23" s="3"/>
      <c r="N23" s="2">
        <f>MIN(N4:N20)</f>
        <v>110.25000000000001</v>
      </c>
      <c r="O23" s="2">
        <f t="shared" ref="O23:AB23" si="25">MIN(O4:O20)</f>
        <v>90.65</v>
      </c>
      <c r="P23" s="2">
        <f t="shared" si="25"/>
        <v>66.150000000000006</v>
      </c>
      <c r="Q23" s="2">
        <f t="shared" si="25"/>
        <v>68.600000000000009</v>
      </c>
      <c r="R23" s="2">
        <f t="shared" si="25"/>
        <v>58.800000000000004</v>
      </c>
      <c r="S23" s="2">
        <f t="shared" si="25"/>
        <v>0</v>
      </c>
      <c r="T23" s="2">
        <f t="shared" si="25"/>
        <v>0</v>
      </c>
      <c r="U23" s="2">
        <f t="shared" si="25"/>
        <v>0</v>
      </c>
      <c r="V23" s="2">
        <f t="shared" si="25"/>
        <v>0</v>
      </c>
      <c r="W23" s="2">
        <f t="shared" si="25"/>
        <v>0</v>
      </c>
      <c r="X23" s="2">
        <f t="shared" si="25"/>
        <v>116.37500000000001</v>
      </c>
      <c r="Y23" s="2">
        <f t="shared" si="25"/>
        <v>90.65</v>
      </c>
      <c r="Z23" s="2">
        <f t="shared" si="25"/>
        <v>66.150000000000006</v>
      </c>
      <c r="AA23" s="2">
        <f t="shared" si="25"/>
        <v>68.600000000000009</v>
      </c>
      <c r="AB23" s="2">
        <f t="shared" si="25"/>
        <v>58.800000000000004</v>
      </c>
      <c r="AD23" s="2">
        <f t="shared" ref="AD23" si="26">MIN(AD4:AD20)</f>
        <v>400.5750000000001</v>
      </c>
    </row>
    <row r="24" spans="1:30" x14ac:dyDescent="0.25">
      <c r="A24" t="s">
        <v>42</v>
      </c>
      <c r="C24" s="2">
        <f>AVERAGE(C4:C20)</f>
        <v>23.681176470588234</v>
      </c>
      <c r="D24" s="3">
        <f>AVERAGE(D4:D20)</f>
        <v>41.235294117647058</v>
      </c>
      <c r="E24" s="3"/>
      <c r="F24" s="3"/>
      <c r="G24" s="3"/>
      <c r="H24" s="3"/>
      <c r="I24" s="3"/>
      <c r="J24" s="3"/>
      <c r="K24" s="3"/>
      <c r="L24" s="3"/>
      <c r="M24" s="3"/>
      <c r="N24" s="2">
        <f>AVERAGE(N4:N20)</f>
        <v>963.41764705882349</v>
      </c>
      <c r="O24" s="2">
        <f t="shared" ref="O24:AB24" si="27">AVERAGE(O4:O20)</f>
        <v>862.92352941176478</v>
      </c>
      <c r="P24" s="2">
        <f t="shared" si="27"/>
        <v>863.39764705882362</v>
      </c>
      <c r="Q24" s="2">
        <f t="shared" si="27"/>
        <v>828.04058823529408</v>
      </c>
      <c r="R24" s="2">
        <f t="shared" si="27"/>
        <v>785.93352941176465</v>
      </c>
      <c r="S24" s="2">
        <f t="shared" si="27"/>
        <v>27.884411764705884</v>
      </c>
      <c r="T24" s="2">
        <f t="shared" si="27"/>
        <v>3.6176470588235294</v>
      </c>
      <c r="U24" s="2">
        <f t="shared" si="27"/>
        <v>1.1470588235294117</v>
      </c>
      <c r="V24" s="2">
        <f t="shared" si="27"/>
        <v>1.161764705882353</v>
      </c>
      <c r="W24" s="2">
        <f t="shared" si="27"/>
        <v>2.6917647058823531</v>
      </c>
      <c r="X24" s="2">
        <f t="shared" si="27"/>
        <v>991.30205882352936</v>
      </c>
      <c r="Y24" s="2">
        <f t="shared" si="27"/>
        <v>866.54117647058831</v>
      </c>
      <c r="Z24" s="2">
        <f t="shared" si="27"/>
        <v>864.54470588235301</v>
      </c>
      <c r="AA24" s="2">
        <f t="shared" si="27"/>
        <v>829.2023529411764</v>
      </c>
      <c r="AB24" s="2">
        <f t="shared" si="27"/>
        <v>788.62529411764706</v>
      </c>
      <c r="AD24" s="2">
        <f t="shared" ref="AD24" si="28">AVERAGE(AD4:AD20)</f>
        <v>4340.2155882352945</v>
      </c>
    </row>
    <row r="25" spans="1:30" x14ac:dyDescent="0.25">
      <c r="A25" t="s">
        <v>43</v>
      </c>
      <c r="C25" s="2">
        <f>SUM(C4:C20)</f>
        <v>402.58</v>
      </c>
      <c r="D25">
        <f>SUM(D4:D20)</f>
        <v>701</v>
      </c>
      <c r="N25" s="2">
        <f>SUM(N4:N20)</f>
        <v>16378.099999999999</v>
      </c>
      <c r="O25" s="2">
        <f t="shared" ref="O25:AB25" si="29">SUM(O4:O20)</f>
        <v>14669.7</v>
      </c>
      <c r="P25" s="2">
        <f t="shared" si="29"/>
        <v>14677.760000000002</v>
      </c>
      <c r="Q25" s="2">
        <f t="shared" si="29"/>
        <v>14076.689999999999</v>
      </c>
      <c r="R25" s="2">
        <f t="shared" si="29"/>
        <v>13360.869999999999</v>
      </c>
      <c r="S25" s="2">
        <f t="shared" si="29"/>
        <v>474.03500000000003</v>
      </c>
      <c r="T25" s="2">
        <f t="shared" si="29"/>
        <v>61.5</v>
      </c>
      <c r="U25" s="2">
        <f t="shared" si="29"/>
        <v>19.5</v>
      </c>
      <c r="V25" s="2">
        <f t="shared" si="29"/>
        <v>19.75</v>
      </c>
      <c r="W25" s="2">
        <f t="shared" si="29"/>
        <v>45.760000000000005</v>
      </c>
      <c r="X25" s="2">
        <f t="shared" si="29"/>
        <v>16852.134999999998</v>
      </c>
      <c r="Y25" s="2">
        <f t="shared" si="29"/>
        <v>14731.2</v>
      </c>
      <c r="Z25" s="2">
        <f t="shared" si="29"/>
        <v>14697.260000000002</v>
      </c>
      <c r="AA25" s="2">
        <f t="shared" si="29"/>
        <v>14096.439999999999</v>
      </c>
      <c r="AB25" s="2">
        <f t="shared" si="29"/>
        <v>13406.63</v>
      </c>
      <c r="AD25" s="2">
        <f t="shared" ref="AD25" si="30">SUM(AD4:AD20)</f>
        <v>73783.665000000008</v>
      </c>
    </row>
  </sheetData>
  <pageMargins left="0.7" right="0.7" top="0.75" bottom="0.75" header="0.3" footer="0.3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aranye</dc:creator>
  <cp:lastModifiedBy>sneha aranye</cp:lastModifiedBy>
  <cp:lastPrinted>2026-09-22T07:05:20Z</cp:lastPrinted>
  <dcterms:created xsi:type="dcterms:W3CDTF">2026-09-20T08:30:05Z</dcterms:created>
  <dcterms:modified xsi:type="dcterms:W3CDTF">2026-09-23T16:38:14Z</dcterms:modified>
</cp:coreProperties>
</file>